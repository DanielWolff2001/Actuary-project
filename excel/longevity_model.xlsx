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nielwolff/Actuary-project/excel/"/>
    </mc:Choice>
  </mc:AlternateContent>
  <xr:revisionPtr revIDLastSave="0" documentId="13_ncr:1_{223CD587-F9D1-B54C-B07E-9D58B5EB297F}" xr6:coauthVersionLast="47" xr6:coauthVersionMax="47" xr10:uidLastSave="{00000000-0000-0000-0000-000000000000}"/>
  <bookViews>
    <workbookView xWindow="0" yWindow="500" windowWidth="33600" windowHeight="19060" xr2:uid="{00000000-000D-0000-FFFF-FFFF00000000}"/>
  </bookViews>
  <sheets>
    <sheet name="Read me" sheetId="1" r:id="rId1"/>
    <sheet name="Dashboard" sheetId="2" r:id="rId2"/>
    <sheet name="Participants" sheetId="3" r:id="rId3"/>
    <sheet name="q_paths" sheetId="4" r:id="rId4"/>
    <sheet name="Discount" sheetId="5" r:id="rId5"/>
    <sheet name="CF_python" sheetId="6" r:id="rId6"/>
    <sheet name="Assumptions" sheetId="7" r:id="rId7"/>
    <sheet name="Calc" sheetId="8" r:id="rId8"/>
    <sheet name="Reconciliation" sheetId="9" r:id="rId9"/>
    <sheet name="Python_results" sheetId="10" r:id="rId10"/>
  </sheets>
  <definedNames>
    <definedName name="LongevityShock">Assumptions!$D$1</definedName>
    <definedName name="MaxAge">Assumptions!$B$1</definedName>
    <definedName name="RateShift">Assumptions!$E$1</definedName>
    <definedName name="RetirementAge">Assumptions!$A$1</definedName>
    <definedName name="ValuationYear">Assumptions!$C$1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0" l="1"/>
  <c r="E8" i="10"/>
  <c r="D8" i="10"/>
  <c r="E7" i="10"/>
  <c r="D7" i="10"/>
  <c r="E6" i="10"/>
  <c r="B21" i="10" s="1"/>
  <c r="H5" i="2" s="1"/>
  <c r="D6" i="10"/>
  <c r="E5" i="10"/>
  <c r="D5" i="10"/>
  <c r="B17" i="9"/>
  <c r="A15" i="9"/>
  <c r="D15" i="9" s="1"/>
  <c r="E15" i="9" s="1"/>
  <c r="F15" i="9" s="1"/>
  <c r="A14" i="9"/>
  <c r="D14" i="9" s="1"/>
  <c r="E14" i="9" s="1"/>
  <c r="F14" i="9" s="1"/>
  <c r="D13" i="9"/>
  <c r="E13" i="9" s="1"/>
  <c r="F13" i="9" s="1"/>
  <c r="A13" i="9"/>
  <c r="A12" i="9"/>
  <c r="D12" i="9" s="1"/>
  <c r="E12" i="9" s="1"/>
  <c r="F12" i="9" s="1"/>
  <c r="A11" i="9"/>
  <c r="D11" i="9" s="1"/>
  <c r="E11" i="9" s="1"/>
  <c r="F11" i="9" s="1"/>
  <c r="A10" i="9"/>
  <c r="D10" i="9" s="1"/>
  <c r="E10" i="9" s="1"/>
  <c r="F10" i="9" s="1"/>
  <c r="A9" i="9"/>
  <c r="D9" i="9" s="1"/>
  <c r="E9" i="9" s="1"/>
  <c r="F9" i="9" s="1"/>
  <c r="A8" i="9"/>
  <c r="D8" i="9" s="1"/>
  <c r="E8" i="9" s="1"/>
  <c r="F8" i="9" s="1"/>
  <c r="A7" i="9"/>
  <c r="D7" i="9" s="1"/>
  <c r="E7" i="9" s="1"/>
  <c r="F7" i="9" s="1"/>
  <c r="A6" i="9"/>
  <c r="D6" i="9" s="1"/>
  <c r="A8" i="8"/>
  <c r="G7" i="8" a="1"/>
  <c r="G7" i="8" s="1"/>
  <c r="B1" i="8"/>
  <c r="D14" i="7"/>
  <c r="C14" i="7"/>
  <c r="B14" i="7"/>
  <c r="D13" i="7"/>
  <c r="C13" i="7"/>
  <c r="B13" i="7"/>
  <c r="D12" i="7"/>
  <c r="B12" i="7"/>
  <c r="J45" i="2"/>
  <c r="I45" i="2"/>
  <c r="H45" i="2"/>
  <c r="G45" i="2"/>
  <c r="E45" i="2"/>
  <c r="D45" i="2"/>
  <c r="C45" i="2"/>
  <c r="B45" i="2"/>
  <c r="J44" i="2"/>
  <c r="I44" i="2"/>
  <c r="H44" i="2"/>
  <c r="G44" i="2"/>
  <c r="E44" i="2"/>
  <c r="D44" i="2"/>
  <c r="C44" i="2"/>
  <c r="B44" i="2"/>
  <c r="J43" i="2"/>
  <c r="I43" i="2"/>
  <c r="H43" i="2"/>
  <c r="G43" i="2"/>
  <c r="E43" i="2"/>
  <c r="D43" i="2"/>
  <c r="C43" i="2"/>
  <c r="B43" i="2"/>
  <c r="J42" i="2"/>
  <c r="I42" i="2"/>
  <c r="H42" i="2"/>
  <c r="E42" i="2"/>
  <c r="D42" i="2"/>
  <c r="C42" i="2"/>
  <c r="C25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H6" i="2"/>
  <c r="F6" i="2"/>
  <c r="D5" i="2"/>
  <c r="B5" i="2"/>
  <c r="B20" i="10" l="1"/>
  <c r="F5" i="2" s="1"/>
  <c r="B19" i="10"/>
  <c r="C18" i="2"/>
  <c r="E6" i="9"/>
  <c r="F6" i="9" s="1"/>
  <c r="F17" i="9" s="1"/>
  <c r="D17" i="9"/>
  <c r="A9" i="8"/>
  <c r="G8" i="8" a="1"/>
  <c r="G8" i="8" s="1"/>
  <c r="B3" i="8"/>
  <c r="B2" i="8"/>
  <c r="C26" i="2" s="1"/>
  <c r="B5" i="8"/>
  <c r="C30" i="2" s="1"/>
  <c r="B4" i="8"/>
  <c r="C21" i="2" l="1"/>
  <c r="J5" i="2"/>
  <c r="G9" i="8" a="1"/>
  <c r="G9" i="8" s="1"/>
  <c r="A10" i="8"/>
  <c r="B7" i="8"/>
  <c r="C27" i="2"/>
  <c r="C28" i="2"/>
  <c r="C19" i="2"/>
  <c r="E17" i="9"/>
  <c r="C20" i="2" s="1"/>
  <c r="G10" i="8" l="1" a="1"/>
  <c r="G10" i="8" s="1"/>
  <c r="A11" i="8"/>
  <c r="C7" i="8" a="1"/>
  <c r="C7" i="8" s="1"/>
  <c r="D8" i="8" s="1"/>
  <c r="E7" i="8"/>
  <c r="F7" i="8" s="1"/>
  <c r="B8" i="8"/>
  <c r="G11" i="8" l="1" a="1"/>
  <c r="G11" i="8" s="1"/>
  <c r="A12" i="8"/>
  <c r="C8" i="8" a="1"/>
  <c r="C8" i="8" s="1"/>
  <c r="D9" i="8" s="1"/>
  <c r="E8" i="8"/>
  <c r="F8" i="8" s="1"/>
  <c r="B9" i="8"/>
  <c r="I7" i="8" a="1"/>
  <c r="I7" i="8" s="1"/>
  <c r="H7" i="8"/>
  <c r="G12" i="8" l="1" a="1"/>
  <c r="G12" i="8" s="1"/>
  <c r="A13" i="8"/>
  <c r="H8" i="8"/>
  <c r="I8" i="8" a="1"/>
  <c r="I8" i="8" s="1"/>
  <c r="C9" i="8" a="1"/>
  <c r="C9" i="8" s="1"/>
  <c r="D10" i="8" s="1"/>
  <c r="E9" i="8"/>
  <c r="F9" i="8" s="1"/>
  <c r="B10" i="8"/>
  <c r="G13" i="8" l="1" a="1"/>
  <c r="G13" i="8" s="1"/>
  <c r="A14" i="8"/>
  <c r="I9" i="8" a="1"/>
  <c r="I9" i="8" s="1"/>
  <c r="H9" i="8"/>
  <c r="C10" i="8" a="1"/>
  <c r="C10" i="8" s="1"/>
  <c r="D11" i="8" s="1"/>
  <c r="E10" i="8"/>
  <c r="F10" i="8" s="1"/>
  <c r="B11" i="8"/>
  <c r="G14" i="8" l="1" a="1"/>
  <c r="G14" i="8" s="1"/>
  <c r="A15" i="8"/>
  <c r="I10" i="8" a="1"/>
  <c r="I10" i="8" s="1"/>
  <c r="H10" i="8"/>
  <c r="C11" i="8" a="1"/>
  <c r="C11" i="8" s="1"/>
  <c r="D12" i="8" s="1"/>
  <c r="E11" i="8"/>
  <c r="F11" i="8" s="1"/>
  <c r="B12" i="8"/>
  <c r="G15" i="8" l="1" a="1"/>
  <c r="G15" i="8" s="1"/>
  <c r="A16" i="8"/>
  <c r="I11" i="8" a="1"/>
  <c r="I11" i="8" s="1"/>
  <c r="H11" i="8"/>
  <c r="C12" i="8" a="1"/>
  <c r="C12" i="8" s="1"/>
  <c r="D13" i="8" s="1"/>
  <c r="E12" i="8"/>
  <c r="F12" i="8" s="1"/>
  <c r="B13" i="8"/>
  <c r="G16" i="8" l="1" a="1"/>
  <c r="G16" i="8" s="1"/>
  <c r="A17" i="8"/>
  <c r="I12" i="8" a="1"/>
  <c r="I12" i="8" s="1"/>
  <c r="H12" i="8"/>
  <c r="C13" i="8" a="1"/>
  <c r="C13" i="8" s="1"/>
  <c r="D14" i="8" s="1"/>
  <c r="E13" i="8"/>
  <c r="F13" i="8" s="1"/>
  <c r="B14" i="8"/>
  <c r="A18" i="8" l="1"/>
  <c r="G17" i="8" a="1"/>
  <c r="G17" i="8" s="1"/>
  <c r="I13" i="8" a="1"/>
  <c r="I13" i="8" s="1"/>
  <c r="H13" i="8"/>
  <c r="C14" i="8" a="1"/>
  <c r="C14" i="8" s="1"/>
  <c r="D15" i="8" s="1"/>
  <c r="E14" i="8"/>
  <c r="F14" i="8" s="1"/>
  <c r="B15" i="8"/>
  <c r="G18" i="8" l="1" a="1"/>
  <c r="G18" i="8" s="1"/>
  <c r="A19" i="8"/>
  <c r="I14" i="8" a="1"/>
  <c r="I14" i="8" s="1"/>
  <c r="H14" i="8"/>
  <c r="C15" i="8" a="1"/>
  <c r="C15" i="8" s="1"/>
  <c r="D16" i="8" s="1"/>
  <c r="E15" i="8"/>
  <c r="F15" i="8" s="1"/>
  <c r="B16" i="8"/>
  <c r="A20" i="8" l="1"/>
  <c r="G19" i="8" a="1"/>
  <c r="G19" i="8" s="1"/>
  <c r="I15" i="8" a="1"/>
  <c r="I15" i="8" s="1"/>
  <c r="H15" i="8"/>
  <c r="C16" i="8" a="1"/>
  <c r="C16" i="8" s="1"/>
  <c r="D17" i="8" s="1"/>
  <c r="E16" i="8"/>
  <c r="F16" i="8" s="1"/>
  <c r="B17" i="8"/>
  <c r="G20" i="8" l="1" a="1"/>
  <c r="G20" i="8" s="1"/>
  <c r="A21" i="8"/>
  <c r="I16" i="8" a="1"/>
  <c r="I16" i="8" s="1"/>
  <c r="H16" i="8"/>
  <c r="B18" i="8"/>
  <c r="E17" i="8"/>
  <c r="F17" i="8" s="1"/>
  <c r="C17" i="8" a="1"/>
  <c r="C17" i="8" s="1"/>
  <c r="D18" i="8" s="1"/>
  <c r="G21" i="8" l="1" a="1"/>
  <c r="G21" i="8" s="1"/>
  <c r="A22" i="8"/>
  <c r="I17" i="8" a="1"/>
  <c r="I17" i="8" s="1"/>
  <c r="H17" i="8"/>
  <c r="C18" i="8" a="1"/>
  <c r="C18" i="8" s="1"/>
  <c r="D19" i="8" s="1"/>
  <c r="B19" i="8"/>
  <c r="E18" i="8"/>
  <c r="F18" i="8" s="1"/>
  <c r="G22" i="8" l="1" a="1"/>
  <c r="G22" i="8" s="1"/>
  <c r="A23" i="8"/>
  <c r="I18" i="8" a="1"/>
  <c r="I18" i="8" s="1"/>
  <c r="H18" i="8"/>
  <c r="C19" i="8" a="1"/>
  <c r="C19" i="8" s="1"/>
  <c r="D20" i="8" s="1"/>
  <c r="E19" i="8"/>
  <c r="F19" i="8" s="1"/>
  <c r="B20" i="8"/>
  <c r="G23" i="8" l="1" a="1"/>
  <c r="G23" i="8" s="1"/>
  <c r="A24" i="8"/>
  <c r="I19" i="8" a="1"/>
  <c r="I19" i="8" s="1"/>
  <c r="H19" i="8"/>
  <c r="C20" i="8" a="1"/>
  <c r="C20" i="8" s="1"/>
  <c r="D21" i="8" s="1"/>
  <c r="E20" i="8"/>
  <c r="F20" i="8" s="1"/>
  <c r="B21" i="8"/>
  <c r="G24" i="8" l="1" a="1"/>
  <c r="G24" i="8" s="1"/>
  <c r="A25" i="8"/>
  <c r="I20" i="8" a="1"/>
  <c r="I20" i="8" s="1"/>
  <c r="H20" i="8"/>
  <c r="C21" i="8" a="1"/>
  <c r="C21" i="8" s="1"/>
  <c r="D22" i="8" s="1"/>
  <c r="E21" i="8"/>
  <c r="F21" i="8" s="1"/>
  <c r="B22" i="8"/>
  <c r="G25" i="8" l="1" a="1"/>
  <c r="G25" i="8" s="1"/>
  <c r="A26" i="8"/>
  <c r="I21" i="8" a="1"/>
  <c r="I21" i="8" s="1"/>
  <c r="H21" i="8"/>
  <c r="C22" i="8" a="1"/>
  <c r="C22" i="8" s="1"/>
  <c r="D23" i="8" s="1"/>
  <c r="E22" i="8"/>
  <c r="F22" i="8" s="1"/>
  <c r="B23" i="8"/>
  <c r="G26" i="8" l="1" a="1"/>
  <c r="G26" i="8" s="1"/>
  <c r="A27" i="8"/>
  <c r="I22" i="8" a="1"/>
  <c r="I22" i="8" s="1"/>
  <c r="H22" i="8"/>
  <c r="C23" i="8" a="1"/>
  <c r="C23" i="8" s="1"/>
  <c r="D24" i="8" s="1"/>
  <c r="E23" i="8"/>
  <c r="F23" i="8" s="1"/>
  <c r="B24" i="8"/>
  <c r="G27" i="8" l="1" a="1"/>
  <c r="G27" i="8" s="1"/>
  <c r="A28" i="8"/>
  <c r="I23" i="8" a="1"/>
  <c r="I23" i="8" s="1"/>
  <c r="H23" i="8"/>
  <c r="C24" i="8" a="1"/>
  <c r="C24" i="8" s="1"/>
  <c r="D25" i="8" s="1"/>
  <c r="E24" i="8"/>
  <c r="F24" i="8" s="1"/>
  <c r="B25" i="8"/>
  <c r="G28" i="8" l="1" a="1"/>
  <c r="G28" i="8" s="1"/>
  <c r="A29" i="8"/>
  <c r="I24" i="8" a="1"/>
  <c r="I24" i="8" s="1"/>
  <c r="H24" i="8"/>
  <c r="C25" i="8" a="1"/>
  <c r="C25" i="8" s="1"/>
  <c r="D26" i="8" s="1"/>
  <c r="E25" i="8"/>
  <c r="F25" i="8" s="1"/>
  <c r="B26" i="8"/>
  <c r="G29" i="8" l="1" a="1"/>
  <c r="G29" i="8" s="1"/>
  <c r="A30" i="8"/>
  <c r="I25" i="8" a="1"/>
  <c r="I25" i="8" s="1"/>
  <c r="H25" i="8"/>
  <c r="C26" i="8" a="1"/>
  <c r="C26" i="8" s="1"/>
  <c r="D27" i="8" s="1"/>
  <c r="E26" i="8"/>
  <c r="F26" i="8" s="1"/>
  <c r="B27" i="8"/>
  <c r="G30" i="8" l="1" a="1"/>
  <c r="G30" i="8" s="1"/>
  <c r="A31" i="8"/>
  <c r="I26" i="8" a="1"/>
  <c r="I26" i="8" s="1"/>
  <c r="H26" i="8"/>
  <c r="C27" i="8" a="1"/>
  <c r="C27" i="8" s="1"/>
  <c r="D28" i="8" s="1"/>
  <c r="E27" i="8"/>
  <c r="F27" i="8" s="1"/>
  <c r="B28" i="8"/>
  <c r="G31" i="8" l="1" a="1"/>
  <c r="G31" i="8" s="1"/>
  <c r="A32" i="8"/>
  <c r="I27" i="8" a="1"/>
  <c r="I27" i="8" s="1"/>
  <c r="H27" i="8"/>
  <c r="C28" i="8" a="1"/>
  <c r="C28" i="8" s="1"/>
  <c r="D29" i="8" s="1"/>
  <c r="E28" i="8"/>
  <c r="F28" i="8" s="1"/>
  <c r="B29" i="8"/>
  <c r="G32" i="8" l="1" a="1"/>
  <c r="G32" i="8" s="1"/>
  <c r="A33" i="8"/>
  <c r="I28" i="8" a="1"/>
  <c r="I28" i="8" s="1"/>
  <c r="H28" i="8"/>
  <c r="C29" i="8" a="1"/>
  <c r="C29" i="8" s="1"/>
  <c r="D30" i="8" s="1"/>
  <c r="E29" i="8"/>
  <c r="F29" i="8" s="1"/>
  <c r="B30" i="8"/>
  <c r="G33" i="8" l="1" a="1"/>
  <c r="G33" i="8" s="1"/>
  <c r="A34" i="8"/>
  <c r="I29" i="8" a="1"/>
  <c r="I29" i="8" s="1"/>
  <c r="H29" i="8"/>
  <c r="C30" i="8" a="1"/>
  <c r="C30" i="8" s="1"/>
  <c r="D31" i="8" s="1"/>
  <c r="E30" i="8"/>
  <c r="F30" i="8" s="1"/>
  <c r="B31" i="8"/>
  <c r="G34" i="8" l="1" a="1"/>
  <c r="G34" i="8" s="1"/>
  <c r="A35" i="8"/>
  <c r="I30" i="8" a="1"/>
  <c r="I30" i="8" s="1"/>
  <c r="H30" i="8"/>
  <c r="C31" i="8" a="1"/>
  <c r="C31" i="8" s="1"/>
  <c r="D32" i="8" s="1"/>
  <c r="E31" i="8"/>
  <c r="F31" i="8" s="1"/>
  <c r="B32" i="8"/>
  <c r="A36" i="8" l="1"/>
  <c r="G35" i="8" a="1"/>
  <c r="G35" i="8" s="1"/>
  <c r="I31" i="8" a="1"/>
  <c r="I31" i="8" s="1"/>
  <c r="H31" i="8"/>
  <c r="C32" i="8" a="1"/>
  <c r="C32" i="8" s="1"/>
  <c r="D33" i="8" s="1"/>
  <c r="E32" i="8"/>
  <c r="F32" i="8" s="1"/>
  <c r="B33" i="8"/>
  <c r="G36" i="8" l="1" a="1"/>
  <c r="G36" i="8" s="1"/>
  <c r="A37" i="8"/>
  <c r="I32" i="8" a="1"/>
  <c r="I32" i="8" s="1"/>
  <c r="H32" i="8"/>
  <c r="C33" i="8" a="1"/>
  <c r="C33" i="8" s="1"/>
  <c r="D34" i="8" s="1"/>
  <c r="E33" i="8"/>
  <c r="F33" i="8" s="1"/>
  <c r="B34" i="8"/>
  <c r="A38" i="8" l="1"/>
  <c r="G37" i="8" a="1"/>
  <c r="G37" i="8" s="1"/>
  <c r="I33" i="8" a="1"/>
  <c r="I33" i="8" s="1"/>
  <c r="H33" i="8"/>
  <c r="C34" i="8" a="1"/>
  <c r="C34" i="8" s="1"/>
  <c r="D35" i="8" s="1"/>
  <c r="E34" i="8"/>
  <c r="F34" i="8" s="1"/>
  <c r="B35" i="8"/>
  <c r="A39" i="8" l="1"/>
  <c r="G38" i="8" a="1"/>
  <c r="G38" i="8" s="1"/>
  <c r="I34" i="8" a="1"/>
  <c r="I34" i="8" s="1"/>
  <c r="H34" i="8"/>
  <c r="C35" i="8" a="1"/>
  <c r="C35" i="8" s="1"/>
  <c r="D36" i="8" s="1"/>
  <c r="E35" i="8"/>
  <c r="F35" i="8" s="1"/>
  <c r="B36" i="8"/>
  <c r="G39" i="8" l="1" a="1"/>
  <c r="G39" i="8" s="1"/>
  <c r="A40" i="8"/>
  <c r="I35" i="8" a="1"/>
  <c r="I35" i="8" s="1"/>
  <c r="H35" i="8"/>
  <c r="B37" i="8"/>
  <c r="C36" i="8" a="1"/>
  <c r="C36" i="8" s="1"/>
  <c r="D37" i="8" s="1"/>
  <c r="E36" i="8"/>
  <c r="F36" i="8" s="1"/>
  <c r="A41" i="8" l="1"/>
  <c r="G40" i="8" a="1"/>
  <c r="G40" i="8" s="1"/>
  <c r="I36" i="8" a="1"/>
  <c r="I36" i="8" s="1"/>
  <c r="H36" i="8"/>
  <c r="E37" i="8"/>
  <c r="F37" i="8" s="1"/>
  <c r="B38" i="8"/>
  <c r="C37" i="8" a="1"/>
  <c r="C37" i="8" s="1"/>
  <c r="D38" i="8" s="1"/>
  <c r="A42" i="8" l="1"/>
  <c r="G41" i="8" a="1"/>
  <c r="G41" i="8" s="1"/>
  <c r="I37" i="8" a="1"/>
  <c r="I37" i="8" s="1"/>
  <c r="H37" i="8"/>
  <c r="C38" i="8" a="1"/>
  <c r="C38" i="8" s="1"/>
  <c r="D39" i="8" s="1"/>
  <c r="B39" i="8"/>
  <c r="E38" i="8"/>
  <c r="F38" i="8" s="1"/>
  <c r="G42" i="8" l="1" a="1"/>
  <c r="G42" i="8" s="1"/>
  <c r="A43" i="8"/>
  <c r="I38" i="8" a="1"/>
  <c r="I38" i="8" s="1"/>
  <c r="H38" i="8"/>
  <c r="E39" i="8"/>
  <c r="F39" i="8" s="1"/>
  <c r="C39" i="8" a="1"/>
  <c r="C39" i="8" s="1"/>
  <c r="D40" i="8" s="1"/>
  <c r="B40" i="8"/>
  <c r="G43" i="8" l="1" a="1"/>
  <c r="G43" i="8" s="1"/>
  <c r="A44" i="8"/>
  <c r="I39" i="8" a="1"/>
  <c r="I39" i="8" s="1"/>
  <c r="H39" i="8"/>
  <c r="B41" i="8"/>
  <c r="C40" i="8" a="1"/>
  <c r="C40" i="8" s="1"/>
  <c r="D41" i="8" s="1"/>
  <c r="E40" i="8"/>
  <c r="F40" i="8" s="1"/>
  <c r="A45" i="8" l="1"/>
  <c r="G44" i="8" a="1"/>
  <c r="G44" i="8" s="1"/>
  <c r="I40" i="8" a="1"/>
  <c r="I40" i="8" s="1"/>
  <c r="H40" i="8"/>
  <c r="E41" i="8"/>
  <c r="F41" i="8" s="1"/>
  <c r="C41" i="8" a="1"/>
  <c r="C41" i="8" s="1"/>
  <c r="D42" i="8" s="1"/>
  <c r="B42" i="8"/>
  <c r="G45" i="8" l="1" a="1"/>
  <c r="G45" i="8" s="1"/>
  <c r="A46" i="8"/>
  <c r="I41" i="8" a="1"/>
  <c r="I41" i="8" s="1"/>
  <c r="H41" i="8"/>
  <c r="C42" i="8" a="1"/>
  <c r="C42" i="8" s="1"/>
  <c r="D43" i="8" s="1"/>
  <c r="B43" i="8"/>
  <c r="E42" i="8"/>
  <c r="F42" i="8" s="1"/>
  <c r="A47" i="8" l="1"/>
  <c r="G46" i="8" a="1"/>
  <c r="G46" i="8" s="1"/>
  <c r="I42" i="8" a="1"/>
  <c r="I42" i="8" s="1"/>
  <c r="H42" i="8"/>
  <c r="E43" i="8"/>
  <c r="F43" i="8" s="1"/>
  <c r="B44" i="8"/>
  <c r="C43" i="8" a="1"/>
  <c r="C43" i="8" s="1"/>
  <c r="D44" i="8" s="1"/>
  <c r="G47" i="8" l="1" a="1"/>
  <c r="G47" i="8" s="1"/>
  <c r="A48" i="8"/>
  <c r="I43" i="8" a="1"/>
  <c r="I43" i="8" s="1"/>
  <c r="H43" i="8"/>
  <c r="B45" i="8"/>
  <c r="E44" i="8"/>
  <c r="F44" i="8" s="1"/>
  <c r="C44" i="8" a="1"/>
  <c r="C44" i="8" s="1"/>
  <c r="D45" i="8" s="1"/>
  <c r="G48" i="8" l="1" a="1"/>
  <c r="G48" i="8" s="1"/>
  <c r="A49" i="8"/>
  <c r="I44" i="8" a="1"/>
  <c r="I44" i="8" s="1"/>
  <c r="H44" i="8"/>
  <c r="B46" i="8"/>
  <c r="C45" i="8" a="1"/>
  <c r="C45" i="8" s="1"/>
  <c r="D46" i="8" s="1"/>
  <c r="E45" i="8"/>
  <c r="F45" i="8" s="1"/>
  <c r="G49" i="8" l="1" a="1"/>
  <c r="G49" i="8" s="1"/>
  <c r="A50" i="8"/>
  <c r="I45" i="8" a="1"/>
  <c r="I45" i="8" s="1"/>
  <c r="H45" i="8"/>
  <c r="C46" i="8" a="1"/>
  <c r="C46" i="8" s="1"/>
  <c r="D47" i="8" s="1"/>
  <c r="E46" i="8"/>
  <c r="F46" i="8" s="1"/>
  <c r="B47" i="8"/>
  <c r="G50" i="8" l="1" a="1"/>
  <c r="G50" i="8" s="1"/>
  <c r="A51" i="8"/>
  <c r="I46" i="8" a="1"/>
  <c r="I46" i="8" s="1"/>
  <c r="H46" i="8"/>
  <c r="E47" i="8"/>
  <c r="F47" i="8" s="1"/>
  <c r="C47" i="8" a="1"/>
  <c r="C47" i="8" s="1"/>
  <c r="D48" i="8" s="1"/>
  <c r="B48" i="8"/>
  <c r="G51" i="8" l="1" a="1"/>
  <c r="G51" i="8" s="1"/>
  <c r="A52" i="8"/>
  <c r="I47" i="8" a="1"/>
  <c r="I47" i="8" s="1"/>
  <c r="H47" i="8"/>
  <c r="C48" i="8" a="1"/>
  <c r="C48" i="8" s="1"/>
  <c r="D49" i="8" s="1"/>
  <c r="E48" i="8"/>
  <c r="F48" i="8" s="1"/>
  <c r="B49" i="8"/>
  <c r="G52" i="8" l="1" a="1"/>
  <c r="G52" i="8" s="1"/>
  <c r="A53" i="8"/>
  <c r="I48" i="8" a="1"/>
  <c r="I48" i="8" s="1"/>
  <c r="H48" i="8"/>
  <c r="C49" i="8" a="1"/>
  <c r="C49" i="8" s="1"/>
  <c r="D50" i="8" s="1"/>
  <c r="E49" i="8"/>
  <c r="F49" i="8" s="1"/>
  <c r="B50" i="8"/>
  <c r="G53" i="8" l="1" a="1"/>
  <c r="G53" i="8" s="1"/>
  <c r="A54" i="8"/>
  <c r="I49" i="8" a="1"/>
  <c r="I49" i="8" s="1"/>
  <c r="H49" i="8"/>
  <c r="C50" i="8" a="1"/>
  <c r="C50" i="8" s="1"/>
  <c r="D51" i="8" s="1"/>
  <c r="E50" i="8"/>
  <c r="F50" i="8" s="1"/>
  <c r="B51" i="8"/>
  <c r="G54" i="8" l="1" a="1"/>
  <c r="G54" i="8" s="1"/>
  <c r="A55" i="8"/>
  <c r="I50" i="8" a="1"/>
  <c r="I50" i="8" s="1"/>
  <c r="H50" i="8"/>
  <c r="C51" i="8" a="1"/>
  <c r="C51" i="8" s="1"/>
  <c r="D52" i="8" s="1"/>
  <c r="E51" i="8"/>
  <c r="F51" i="8" s="1"/>
  <c r="B52" i="8"/>
  <c r="G55" i="8" l="1" a="1"/>
  <c r="G55" i="8" s="1"/>
  <c r="A56" i="8"/>
  <c r="I51" i="8" a="1"/>
  <c r="I51" i="8" s="1"/>
  <c r="H51" i="8"/>
  <c r="C52" i="8" a="1"/>
  <c r="C52" i="8" s="1"/>
  <c r="D53" i="8" s="1"/>
  <c r="E52" i="8"/>
  <c r="F52" i="8" s="1"/>
  <c r="B53" i="8"/>
  <c r="G56" i="8" l="1" a="1"/>
  <c r="G56" i="8" s="1"/>
  <c r="A57" i="8"/>
  <c r="I52" i="8" a="1"/>
  <c r="I52" i="8" s="1"/>
  <c r="H52" i="8"/>
  <c r="C53" i="8" a="1"/>
  <c r="C53" i="8" s="1"/>
  <c r="D54" i="8" s="1"/>
  <c r="E53" i="8"/>
  <c r="F53" i="8" s="1"/>
  <c r="B54" i="8"/>
  <c r="G57" i="8" l="1" a="1"/>
  <c r="G57" i="8" s="1"/>
  <c r="A58" i="8"/>
  <c r="I53" i="8" a="1"/>
  <c r="I53" i="8" s="1"/>
  <c r="H53" i="8"/>
  <c r="C54" i="8" a="1"/>
  <c r="C54" i="8" s="1"/>
  <c r="D55" i="8" s="1"/>
  <c r="E54" i="8"/>
  <c r="F54" i="8" s="1"/>
  <c r="B55" i="8"/>
  <c r="G58" i="8" l="1" a="1"/>
  <c r="G58" i="8" s="1"/>
  <c r="A59" i="8"/>
  <c r="I54" i="8" a="1"/>
  <c r="I54" i="8" s="1"/>
  <c r="H54" i="8"/>
  <c r="C55" i="8" a="1"/>
  <c r="C55" i="8" s="1"/>
  <c r="D56" i="8" s="1"/>
  <c r="E55" i="8"/>
  <c r="F55" i="8" s="1"/>
  <c r="B56" i="8"/>
  <c r="G59" i="8" l="1" a="1"/>
  <c r="G59" i="8" s="1"/>
  <c r="A60" i="8"/>
  <c r="I55" i="8" a="1"/>
  <c r="I55" i="8" s="1"/>
  <c r="H55" i="8"/>
  <c r="C56" i="8" a="1"/>
  <c r="C56" i="8" s="1"/>
  <c r="D57" i="8" s="1"/>
  <c r="E56" i="8"/>
  <c r="F56" i="8" s="1"/>
  <c r="B57" i="8"/>
  <c r="G60" i="8" l="1" a="1"/>
  <c r="G60" i="8" s="1"/>
  <c r="A61" i="8"/>
  <c r="I56" i="8" a="1"/>
  <c r="I56" i="8" s="1"/>
  <c r="H56" i="8"/>
  <c r="C57" i="8" a="1"/>
  <c r="C57" i="8" s="1"/>
  <c r="D58" i="8" s="1"/>
  <c r="E57" i="8"/>
  <c r="F57" i="8" s="1"/>
  <c r="B58" i="8"/>
  <c r="G61" i="8" l="1" a="1"/>
  <c r="G61" i="8" s="1"/>
  <c r="A62" i="8"/>
  <c r="I57" i="8" a="1"/>
  <c r="I57" i="8" s="1"/>
  <c r="H57" i="8"/>
  <c r="C58" i="8" a="1"/>
  <c r="C58" i="8" s="1"/>
  <c r="D59" i="8" s="1"/>
  <c r="E58" i="8"/>
  <c r="F58" i="8" s="1"/>
  <c r="B59" i="8"/>
  <c r="G62" i="8" l="1" a="1"/>
  <c r="G62" i="8" s="1"/>
  <c r="A63" i="8"/>
  <c r="I58" i="8" a="1"/>
  <c r="I58" i="8" s="1"/>
  <c r="H58" i="8"/>
  <c r="C59" i="8" a="1"/>
  <c r="C59" i="8" s="1"/>
  <c r="D60" i="8" s="1"/>
  <c r="E59" i="8"/>
  <c r="F59" i="8" s="1"/>
  <c r="B60" i="8"/>
  <c r="A64" i="8" l="1"/>
  <c r="G63" i="8" a="1"/>
  <c r="G63" i="8" s="1"/>
  <c r="I59" i="8" a="1"/>
  <c r="I59" i="8" s="1"/>
  <c r="H59" i="8"/>
  <c r="C60" i="8" a="1"/>
  <c r="C60" i="8" s="1"/>
  <c r="D61" i="8" s="1"/>
  <c r="E60" i="8"/>
  <c r="F60" i="8" s="1"/>
  <c r="B61" i="8"/>
  <c r="G64" i="8" l="1" a="1"/>
  <c r="G64" i="8" s="1"/>
  <c r="A65" i="8"/>
  <c r="I60" i="8" a="1"/>
  <c r="I60" i="8" s="1"/>
  <c r="H60" i="8"/>
  <c r="C61" i="8" a="1"/>
  <c r="C61" i="8" s="1"/>
  <c r="D62" i="8" s="1"/>
  <c r="E61" i="8"/>
  <c r="F61" i="8" s="1"/>
  <c r="B62" i="8"/>
  <c r="G65" i="8" l="1" a="1"/>
  <c r="G65" i="8" s="1"/>
  <c r="A66" i="8"/>
  <c r="I61" i="8" a="1"/>
  <c r="I61" i="8" s="1"/>
  <c r="H61" i="8"/>
  <c r="C62" i="8" a="1"/>
  <c r="C62" i="8" s="1"/>
  <c r="D63" i="8" s="1"/>
  <c r="E62" i="8"/>
  <c r="F62" i="8" s="1"/>
  <c r="B63" i="8"/>
  <c r="G66" i="8" l="1" a="1"/>
  <c r="G66" i="8" s="1"/>
  <c r="A67" i="8"/>
  <c r="I62" i="8" a="1"/>
  <c r="I62" i="8" s="1"/>
  <c r="H62" i="8"/>
  <c r="C63" i="8" a="1"/>
  <c r="C63" i="8" s="1"/>
  <c r="D64" i="8" s="1"/>
  <c r="E63" i="8"/>
  <c r="F63" i="8" s="1"/>
  <c r="B64" i="8"/>
  <c r="G67" i="8" l="1" a="1"/>
  <c r="G67" i="8" s="1"/>
  <c r="A68" i="8"/>
  <c r="I63" i="8" a="1"/>
  <c r="I63" i="8" s="1"/>
  <c r="H63" i="8"/>
  <c r="C64" i="8" a="1"/>
  <c r="C64" i="8" s="1"/>
  <c r="D65" i="8" s="1"/>
  <c r="E64" i="8"/>
  <c r="F64" i="8" s="1"/>
  <c r="B65" i="8"/>
  <c r="G68" i="8" l="1" a="1"/>
  <c r="G68" i="8" s="1"/>
  <c r="A69" i="8"/>
  <c r="I64" i="8" a="1"/>
  <c r="I64" i="8" s="1"/>
  <c r="H64" i="8"/>
  <c r="C65" i="8" a="1"/>
  <c r="C65" i="8" s="1"/>
  <c r="D66" i="8" s="1"/>
  <c r="E65" i="8"/>
  <c r="F65" i="8" s="1"/>
  <c r="B66" i="8"/>
  <c r="G69" i="8" l="1" a="1"/>
  <c r="G69" i="8" s="1"/>
  <c r="A70" i="8"/>
  <c r="I65" i="8" a="1"/>
  <c r="I65" i="8" s="1"/>
  <c r="H65" i="8"/>
  <c r="C66" i="8" a="1"/>
  <c r="C66" i="8" s="1"/>
  <c r="D67" i="8" s="1"/>
  <c r="E66" i="8"/>
  <c r="F66" i="8" s="1"/>
  <c r="B67" i="8"/>
  <c r="G70" i="8" l="1" a="1"/>
  <c r="G70" i="8" s="1"/>
  <c r="A71" i="8"/>
  <c r="I66" i="8" a="1"/>
  <c r="I66" i="8" s="1"/>
  <c r="H66" i="8"/>
  <c r="C67" i="8" a="1"/>
  <c r="C67" i="8" s="1"/>
  <c r="D68" i="8" s="1"/>
  <c r="E67" i="8"/>
  <c r="F67" i="8" s="1"/>
  <c r="B68" i="8"/>
  <c r="G71" i="8" l="1" a="1"/>
  <c r="G71" i="8" s="1"/>
  <c r="A72" i="8"/>
  <c r="I67" i="8" a="1"/>
  <c r="I67" i="8" s="1"/>
  <c r="H67" i="8"/>
  <c r="C68" i="8" a="1"/>
  <c r="C68" i="8" s="1"/>
  <c r="D69" i="8" s="1"/>
  <c r="E68" i="8"/>
  <c r="F68" i="8" s="1"/>
  <c r="B69" i="8"/>
  <c r="G72" i="8" l="1" a="1"/>
  <c r="G72" i="8" s="1"/>
  <c r="A73" i="8"/>
  <c r="I68" i="8" a="1"/>
  <c r="I68" i="8" s="1"/>
  <c r="H68" i="8"/>
  <c r="C69" i="8" a="1"/>
  <c r="C69" i="8" s="1"/>
  <c r="D70" i="8" s="1"/>
  <c r="E69" i="8"/>
  <c r="F69" i="8" s="1"/>
  <c r="B70" i="8"/>
  <c r="G73" i="8" l="1" a="1"/>
  <c r="G73" i="8" s="1"/>
  <c r="A74" i="8"/>
  <c r="I69" i="8" a="1"/>
  <c r="I69" i="8" s="1"/>
  <c r="H69" i="8"/>
  <c r="C70" i="8" a="1"/>
  <c r="C70" i="8" s="1"/>
  <c r="D71" i="8" s="1"/>
  <c r="E70" i="8"/>
  <c r="F70" i="8" s="1"/>
  <c r="B71" i="8"/>
  <c r="G74" i="8" l="1" a="1"/>
  <c r="G74" i="8" s="1"/>
  <c r="A75" i="8"/>
  <c r="I70" i="8" a="1"/>
  <c r="I70" i="8" s="1"/>
  <c r="H70" i="8"/>
  <c r="C71" i="8" a="1"/>
  <c r="C71" i="8" s="1"/>
  <c r="D72" i="8" s="1"/>
  <c r="E71" i="8"/>
  <c r="F71" i="8" s="1"/>
  <c r="B72" i="8"/>
  <c r="G75" i="8" l="1" a="1"/>
  <c r="G75" i="8" s="1"/>
  <c r="A76" i="8"/>
  <c r="I71" i="8" a="1"/>
  <c r="I71" i="8" s="1"/>
  <c r="H71" i="8"/>
  <c r="C72" i="8" a="1"/>
  <c r="C72" i="8" s="1"/>
  <c r="D73" i="8" s="1"/>
  <c r="E72" i="8"/>
  <c r="F72" i="8" s="1"/>
  <c r="B73" i="8"/>
  <c r="G76" i="8" l="1" a="1"/>
  <c r="G76" i="8" s="1"/>
  <c r="A77" i="8"/>
  <c r="I72" i="8" a="1"/>
  <c r="I72" i="8" s="1"/>
  <c r="H72" i="8"/>
  <c r="C73" i="8" a="1"/>
  <c r="C73" i="8" s="1"/>
  <c r="D74" i="8" s="1"/>
  <c r="E73" i="8"/>
  <c r="F73" i="8" s="1"/>
  <c r="B74" i="8"/>
  <c r="G77" i="8" l="1" a="1"/>
  <c r="G77" i="8" s="1"/>
  <c r="A78" i="8"/>
  <c r="I73" i="8" a="1"/>
  <c r="I73" i="8" s="1"/>
  <c r="H73" i="8"/>
  <c r="C74" i="8" a="1"/>
  <c r="C74" i="8" s="1"/>
  <c r="D75" i="8" s="1"/>
  <c r="E74" i="8"/>
  <c r="F74" i="8" s="1"/>
  <c r="B75" i="8"/>
  <c r="G78" i="8" l="1" a="1"/>
  <c r="G78" i="8" s="1"/>
  <c r="A79" i="8"/>
  <c r="I74" i="8" a="1"/>
  <c r="I74" i="8" s="1"/>
  <c r="H74" i="8"/>
  <c r="C75" i="8" a="1"/>
  <c r="C75" i="8" s="1"/>
  <c r="D76" i="8" s="1"/>
  <c r="E75" i="8"/>
  <c r="F75" i="8" s="1"/>
  <c r="B76" i="8"/>
  <c r="G79" i="8" l="1" a="1"/>
  <c r="G79" i="8" s="1"/>
  <c r="A80" i="8"/>
  <c r="I75" i="8" a="1"/>
  <c r="I75" i="8" s="1"/>
  <c r="H75" i="8"/>
  <c r="C76" i="8" a="1"/>
  <c r="C76" i="8" s="1"/>
  <c r="D77" i="8" s="1"/>
  <c r="E76" i="8"/>
  <c r="F76" i="8" s="1"/>
  <c r="B77" i="8"/>
  <c r="G80" i="8" l="1" a="1"/>
  <c r="G80" i="8" s="1"/>
  <c r="A81" i="8"/>
  <c r="I76" i="8" a="1"/>
  <c r="I76" i="8" s="1"/>
  <c r="H76" i="8"/>
  <c r="C77" i="8" a="1"/>
  <c r="C77" i="8" s="1"/>
  <c r="D78" i="8" s="1"/>
  <c r="E77" i="8"/>
  <c r="F77" i="8" s="1"/>
  <c r="B78" i="8"/>
  <c r="G81" i="8" l="1" a="1"/>
  <c r="G81" i="8" s="1"/>
  <c r="A82" i="8"/>
  <c r="I77" i="8" a="1"/>
  <c r="I77" i="8" s="1"/>
  <c r="H77" i="8"/>
  <c r="C78" i="8" a="1"/>
  <c r="C78" i="8" s="1"/>
  <c r="D79" i="8" s="1"/>
  <c r="E78" i="8"/>
  <c r="F78" i="8" s="1"/>
  <c r="B79" i="8"/>
  <c r="G82" i="8" l="1" a="1"/>
  <c r="G82" i="8" s="1"/>
  <c r="A83" i="8"/>
  <c r="I78" i="8" a="1"/>
  <c r="I78" i="8" s="1"/>
  <c r="H78" i="8"/>
  <c r="C79" i="8" a="1"/>
  <c r="C79" i="8" s="1"/>
  <c r="D80" i="8" s="1"/>
  <c r="E79" i="8"/>
  <c r="F79" i="8" s="1"/>
  <c r="B80" i="8"/>
  <c r="G83" i="8" l="1" a="1"/>
  <c r="G83" i="8" s="1"/>
  <c r="A84" i="8"/>
  <c r="I79" i="8" a="1"/>
  <c r="I79" i="8" s="1"/>
  <c r="H79" i="8"/>
  <c r="C80" i="8" a="1"/>
  <c r="C80" i="8" s="1"/>
  <c r="D81" i="8" s="1"/>
  <c r="E80" i="8"/>
  <c r="F80" i="8" s="1"/>
  <c r="B81" i="8"/>
  <c r="G84" i="8" l="1" a="1"/>
  <c r="G84" i="8" s="1"/>
  <c r="A85" i="8"/>
  <c r="I80" i="8" a="1"/>
  <c r="I80" i="8" s="1"/>
  <c r="H80" i="8"/>
  <c r="C81" i="8" a="1"/>
  <c r="C81" i="8" s="1"/>
  <c r="D82" i="8" s="1"/>
  <c r="E81" i="8"/>
  <c r="F81" i="8" s="1"/>
  <c r="B82" i="8"/>
  <c r="G85" i="8" l="1" a="1"/>
  <c r="G85" i="8" s="1"/>
  <c r="A86" i="8"/>
  <c r="I81" i="8" a="1"/>
  <c r="I81" i="8" s="1"/>
  <c r="H81" i="8"/>
  <c r="C82" i="8" a="1"/>
  <c r="C82" i="8" s="1"/>
  <c r="D83" i="8" s="1"/>
  <c r="E82" i="8"/>
  <c r="F82" i="8" s="1"/>
  <c r="B83" i="8"/>
  <c r="G86" i="8" l="1" a="1"/>
  <c r="G86" i="8" s="1"/>
  <c r="A87" i="8"/>
  <c r="I82" i="8" a="1"/>
  <c r="I82" i="8" s="1"/>
  <c r="H82" i="8"/>
  <c r="C83" i="8" a="1"/>
  <c r="C83" i="8" s="1"/>
  <c r="D84" i="8" s="1"/>
  <c r="E83" i="8"/>
  <c r="F83" i="8" s="1"/>
  <c r="B84" i="8"/>
  <c r="G87" i="8" l="1" a="1"/>
  <c r="G87" i="8" s="1"/>
  <c r="I83" i="8" a="1"/>
  <c r="I83" i="8" s="1"/>
  <c r="H83" i="8"/>
  <c r="C84" i="8" a="1"/>
  <c r="C84" i="8" s="1"/>
  <c r="D85" i="8" s="1"/>
  <c r="E84" i="8"/>
  <c r="F84" i="8" s="1"/>
  <c r="B85" i="8"/>
  <c r="I84" i="8" l="1" a="1"/>
  <c r="I84" i="8" s="1"/>
  <c r="H84" i="8"/>
  <c r="C85" i="8" a="1"/>
  <c r="C85" i="8" s="1"/>
  <c r="D86" i="8" s="1"/>
  <c r="E85" i="8"/>
  <c r="F85" i="8" s="1"/>
  <c r="B86" i="8"/>
  <c r="I85" i="8" l="1" a="1"/>
  <c r="I85" i="8" s="1"/>
  <c r="H85" i="8"/>
  <c r="C86" i="8" a="1"/>
  <c r="C86" i="8" s="1"/>
  <c r="D87" i="8" s="1"/>
  <c r="E86" i="8"/>
  <c r="F86" i="8" s="1"/>
  <c r="B87" i="8"/>
  <c r="I86" i="8" l="1" a="1"/>
  <c r="I86" i="8" s="1"/>
  <c r="H86" i="8"/>
  <c r="C87" i="8" a="1"/>
  <c r="C87" i="8" s="1"/>
  <c r="E87" i="8"/>
  <c r="F87" i="8" s="1"/>
  <c r="H87" i="8" l="1"/>
  <c r="I87" i="8" a="1"/>
  <c r="I87" i="8" s="1"/>
  <c r="L10" i="8" s="1" a="1"/>
  <c r="L10" i="8" s="1"/>
  <c r="L7" i="8" l="1"/>
  <c r="L6" i="8"/>
  <c r="C5" i="9" l="1"/>
  <c r="C31" i="2"/>
  <c r="A5" i="7"/>
  <c r="C12" i="7"/>
  <c r="B5" i="9"/>
  <c r="C29" i="2"/>
  <c r="L8" i="8"/>
  <c r="L9" i="8" s="1"/>
</calcChain>
</file>

<file path=xl/sharedStrings.xml><?xml version="1.0" encoding="utf-8"?>
<sst xmlns="http://schemas.openxmlformats.org/spreadsheetml/2006/main" count="195" uniqueCount="155">
  <si>
    <t>Longevity risk in a Dutch pension portfolio: Excel model</t>
  </si>
  <si>
    <t>Author: Daniel Wolff · Valuation date 30-09-2026</t>
  </si>
  <si>
    <t>Purpose</t>
  </si>
  <si>
    <t>This workbook independently rebuilds the liability valuation of the Python model for 10 sample participants, reconciles the results with Python, shows how the best-estimate liability (BEL) reacts to longevity and interest rate shocks, and summarises the fund-level results on the Dashboard.</t>
  </si>
  <si>
    <t>How the project fits together</t>
  </si>
  <si>
    <t>Step</t>
  </si>
  <si>
    <t>What it does</t>
  </si>
  <si>
    <t>1. R</t>
  </si>
  <si>
    <t>Lee-Carter mortality model fitted on Dutch HMD data (1990-2023), projected 50 years ahead with 1,000 simulated scenarios.</t>
  </si>
  <si>
    <t>2. Python</t>
  </si>
  <si>
    <t>Synthetic fund of 100,000 participants: survival along the generational diagonal, expected cash flows, discounting with the EIOPA curve, BEL, stochastic BEL and stress tests. Exports 10 participants to this workbook.</t>
  </si>
  <si>
    <t>3. Excel</t>
  </si>
  <si>
    <t>This workbook: rebuilds the calculation for the 10 participants, checks it against Python and adds sensitivities and a dashboard.</t>
  </si>
  <si>
    <t>Sheets</t>
  </si>
  <si>
    <t>Sheet</t>
  </si>
  <si>
    <t>Contents</t>
  </si>
  <si>
    <t>Read me</t>
  </si>
  <si>
    <t>This page.</t>
  </si>
  <si>
    <t>Dashboard</t>
  </si>
  <si>
    <t>Summary of all results. Every number is a link to another sheet.</t>
  </si>
  <si>
    <t>Participants</t>
  </si>
  <si>
    <t>The 10 exported participants (id, sex, age, accrued pension) and Python's BEL per participant.</t>
  </si>
  <si>
    <t>q_paths</t>
  </si>
  <si>
    <t>One-year death probabilities along each participant's generational diagonal, t = 0..80 years from the valuation date.</t>
  </si>
  <si>
    <t>Discount</t>
  </si>
  <si>
    <t>Discount factors from the EIOPA risk-free curve (spot, no volatility adjustment), t = 0..80.</t>
  </si>
  <si>
    <t>CF_python</t>
  </si>
  <si>
    <t>Python's expected cash flows per participant, used only for the reconciliation.</t>
  </si>
  <si>
    <t>Assumptions</t>
  </si>
  <si>
    <t>Model inputs (named ranges) and the two-way sensitivity tables per participant.</t>
  </si>
  <si>
    <t>Calc</t>
  </si>
  <si>
    <t>The valuation for the selected participant: age, q, survival, payment indicator, cash flow, discount factor, present value, BEL and duration.</t>
  </si>
  <si>
    <t>Reconciliation</t>
  </si>
  <si>
    <t>Data Table that runs Calc for all 10 participants and compares BEL Excel with BEL Python.</t>
  </si>
  <si>
    <t>Python_results</t>
  </si>
  <si>
    <t>Fund-level results from Python (BEL, duration, stress tests, stochastic BEL). Blue values are copied from Python.</t>
  </si>
  <si>
    <t>Inputs</t>
  </si>
  <si>
    <t>Input</t>
  </si>
  <si>
    <t>Meaning</t>
  </si>
  <si>
    <t>RetirementAge</t>
  </si>
  <si>
    <t>Age at which pension payments start (Assumptions!A1).</t>
  </si>
  <si>
    <t>MaxAge</t>
  </si>
  <si>
    <t>Age at which the mortality table is closed with q = 1 (Assumptions!B1).</t>
  </si>
  <si>
    <t>ValuationYear</t>
  </si>
  <si>
    <t>Year of the valuation date (Assumptions!C1).</t>
  </si>
  <si>
    <t>LongevityShock</t>
  </si>
  <si>
    <t>Relative decrease of all mortality rates, e.g. 20% (Assumptions!D1). Keep at 0 for the reconciliation.</t>
  </si>
  <si>
    <t>RateShift</t>
  </si>
  <si>
    <t>Parallel shift of the spot rates, e.g. +1% (Assumptions!E1). Keep at 0 for the reconciliation.</t>
  </si>
  <si>
    <t>Selected id</t>
  </si>
  <si>
    <t>Participant shown on Calc and the Dashboard (Reconciliation!B1).</t>
  </si>
  <si>
    <t>Calculation (sheet Calc, one row per year t)</t>
  </si>
  <si>
    <t>Item</t>
  </si>
  <si>
    <t>Formula</t>
  </si>
  <si>
    <t>Survival</t>
  </si>
  <si>
    <t>S(0) = 1 and S(t) = S(t-1) × (1 − q(t-1))</t>
  </si>
  <si>
    <t>Cash flow</t>
  </si>
  <si>
    <t>CF(t) = pension × S(t) × 1[age + t ≥ RetirementAge], paid at the start of each year</t>
  </si>
  <si>
    <t>Discount factor</t>
  </si>
  <si>
    <t>DF(t) = (1 + r(t) + RateShift)^(−t), with r(t) recovered from the exported DF</t>
  </si>
  <si>
    <t>BEL</t>
  </si>
  <si>
    <t>Sum of CF(t) × DF(t)</t>
  </si>
  <si>
    <t>Duration</t>
  </si>
  <si>
    <t>Sum of t × CF(t) × DF(t), divided by BEL</t>
  </si>
  <si>
    <t>How to use</t>
  </si>
  <si>
    <t>1. Change the participant id in Reconciliation!B1 to see that participant on Calc and the Dashboard.</t>
  </si>
  <si>
    <t>2. Change LongevityShock or RateShift on Assumptions to see the effect. The reconciliation will then show CHECK, because Python was run without shocks.</t>
  </si>
  <si>
    <t>3. If the Data Tables do not update, press F9 or set Formulas → Calculation Options → Automatic.</t>
  </si>
  <si>
    <t>Main limitations</t>
  </si>
  <si>
    <t>Mortality uncertainty covers only the random walk of k(t), not parameter or model risk. Lee-Carter has no cohort effect. Mortality above age 100 is extrapolated. The rate shift is a flat ±1%, not the maturity-dependent Solvency II shock. The portfolio is synthetic.</t>
  </si>
  <si>
    <t>Sources</t>
  </si>
  <si>
    <t>Human Mortality Database (Netherlands, deaths and exposures 1x1); EIOPA risk-free rate term structures, 30-09-2026; synthetic portfolio generated in Python.</t>
  </si>
  <si>
    <t>Longevity risk in a Dutch pension portfolio</t>
  </si>
  <si>
    <t>Valuation date 30-09-2026 · Lee-Carter mortality projection (HMD, NL 1990-2023) · EIOPA risk-free curve, no VA</t>
  </si>
  <si>
    <t>Fund BEL (€ bn)</t>
  </si>
  <si>
    <t>Duration (years)</t>
  </si>
  <si>
    <t>Longevity capital, own model</t>
  </si>
  <si>
    <t>Longevity capital, std formula</t>
  </si>
  <si>
    <t>Excel vs Python</t>
  </si>
  <si>
    <t>Best estimate, central projection</t>
  </si>
  <si>
    <t>Weighted average payment time</t>
  </si>
  <si>
    <t>10 sample participants</t>
  </si>
  <si>
    <t>Fund-level stress tests (Python model, 100,000 participants)</t>
  </si>
  <si>
    <t>Scenario</t>
  </si>
  <si>
    <t>BEL (€ bn)</t>
  </si>
  <si>
    <t>Duration (yrs)</t>
  </si>
  <si>
    <t>Change (€ mln)</t>
  </si>
  <si>
    <t>Change (%)</t>
  </si>
  <si>
    <t>Longevity −20% q is the Solvency II standard-formula shock; rates ±1% is a parallel sensitivity, not the maturity-dependent SF shock.</t>
  </si>
  <si>
    <t>Excel reconciliation (10 sample participants)</t>
  </si>
  <si>
    <t>Total BEL Excel (€)</t>
  </si>
  <si>
    <t>Total BEL Python (€)</t>
  </si>
  <si>
    <t>Difference (€)</t>
  </si>
  <si>
    <t>Status</t>
  </si>
  <si>
    <t>Selected participant (change the id in Reconciliation!B1)</t>
  </si>
  <si>
    <t>Participant id</t>
  </si>
  <si>
    <t>Sex</t>
  </si>
  <si>
    <t>Age at valuation</t>
  </si>
  <si>
    <t>Accrued pension (€ / yr)</t>
  </si>
  <si>
    <t>BEL Excel (€)</t>
  </si>
  <si>
    <t>BEL Python (€)</t>
  </si>
  <si>
    <t>Participant sensitivities: % change in BEL</t>
  </si>
  <si>
    <t>Retiree (id 77945): mainly longevity-sensitive</t>
  </si>
  <si>
    <t>Active (id 7142, age 52): mainly rate-sensitive</t>
  </si>
  <si>
    <t>Longevity ↓ / Rate →</t>
  </si>
  <si>
    <t>Key message: the fund needs €12.3 bn today. Interest rate risk dominates (−1% → +15.9%), while longevity costs 4.8% of BEL at 99.5% in the own model versus 7.8% under the standard-formula shock. Older participants drive the longevity risk, younger ones the rate risk, and combined shocks exceed the sum of the separate effects.</t>
  </si>
  <si>
    <t>Sources: Human Mortality Database (Netherlands); EIOPA RFR 30-09-2026; synthetic portfolio. Inputs on Assumptions; Python results on Python_results.</t>
  </si>
  <si>
    <t>id</t>
  </si>
  <si>
    <t>sex</t>
  </si>
  <si>
    <t>age</t>
  </si>
  <si>
    <t>pension</t>
  </si>
  <si>
    <t>BEL_python</t>
  </si>
  <si>
    <t>Female</t>
  </si>
  <si>
    <t>Male</t>
  </si>
  <si>
    <t>t</t>
  </si>
  <si>
    <t>DF</t>
  </si>
  <si>
    <t>BEL for different LongevityShocks and RateShifts</t>
  </si>
  <si>
    <t>Percentual change from baseline</t>
  </si>
  <si>
    <t>id: 77945</t>
  </si>
  <si>
    <t>id: 7142</t>
  </si>
  <si>
    <t>Rate shift →</t>
  </si>
  <si>
    <t>Longevity shock ↓</t>
  </si>
  <si>
    <t>Age</t>
  </si>
  <si>
    <t>Pension</t>
  </si>
  <si>
    <t>BEL Python</t>
  </si>
  <si>
    <t>q</t>
  </si>
  <si>
    <t>Paying</t>
  </si>
  <si>
    <t>CF</t>
  </si>
  <si>
    <t>PV</t>
  </si>
  <si>
    <t>CF check</t>
  </si>
  <si>
    <t>BEL excel</t>
  </si>
  <si>
    <t>Differnece vs python</t>
  </si>
  <si>
    <t>Check</t>
  </si>
  <si>
    <t>Max CF diff</t>
  </si>
  <si>
    <t>Row 5 (hidden template row)</t>
  </si>
  <si>
    <t>BEL Excel</t>
  </si>
  <si>
    <t>Difference</t>
  </si>
  <si>
    <t>Fund-level results from the Python model</t>
  </si>
  <si>
    <t>Source: python/liability_model.py, output data/shock_results.csv and summarise_bel() output (100,000 participants, valuation 30-09-2026). Blue cells are hardcoded inputs copied from Python.</t>
  </si>
  <si>
    <t>Base</t>
  </si>
  <si>
    <t>Longevity -20% q</t>
  </si>
  <si>
    <t>Rates -1%</t>
  </si>
  <si>
    <t>Rates +1%</t>
  </si>
  <si>
    <t>Stochastic BEL (1,000 Lee-Carter mortality scenarios)</t>
  </si>
  <si>
    <t>Central BEL (€ bn)</t>
  </si>
  <si>
    <t>Mean of scenarios (€ bn)</t>
  </si>
  <si>
    <t>Std of scenarios (€ bn)</t>
  </si>
  <si>
    <t>5% quantile (€ bn)</t>
  </si>
  <si>
    <t>50% quantile (€ bn)</t>
  </si>
  <si>
    <t>95% quantile (€ bn)</t>
  </si>
  <si>
    <t>99.5% minus central (€ mln)</t>
  </si>
  <si>
    <t>99.5% quantile (€ bn)</t>
  </si>
  <si>
    <t>Longevity capital, own model (% of BEL)</t>
  </si>
  <si>
    <t>Longevity capital, standard formula -20% q (% of BEL)</t>
  </si>
  <si>
    <t>Conclusion: The two participants are sensitive to different risks. The retiree (77945) is mainly exposed to longevity risk: a 20% decrease in mortality raises the BEL by 11.7%, while a 1% rate shift moves it by only about 4%. For the active participant (7142, age 52), the reverse holds: a 1% rate drop raises the BEL by 28.4%, against 6.8% for the longevity shock. This follows from duration: the active’s payments start 16 years from now, so discounting has much more impact, while the retiree’s high mortality rates make a relative decrease in mortality matter more. Combined shocks are larger than the sum of the separate effects, because the extra years of life are also discounted at a lower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</si>
</sst>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"/>
    <numFmt numFmtId="165" formatCode="0.0"/>
    <numFmt numFmtId="166" formatCode="#,##0;\(#,##0\);\-"/>
    <numFmt numFmtId="167" formatCode="0.0%;\-0.0%;\-"/>
    <numFmt numFmtId="168" formatCode="\+0%;\-0%;0%"/>
    <numFmt numFmtId="169" formatCode="\+0.0%;\-0.0%;0.0%"/>
    <numFmt numFmtId="171" formatCode="_ * #,##0_ ;_ * \-#,##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1F3864"/>
      <name val="Arial"/>
      <family val="2"/>
    </font>
    <font>
      <b/>
      <sz val="18"/>
      <color rgb="FF1F3864"/>
      <name val="Arial"/>
      <family val="2"/>
    </font>
    <font>
      <sz val="10"/>
      <color rgb="FF595959"/>
      <name val="Arial"/>
      <family val="2"/>
    </font>
    <font>
      <b/>
      <sz val="9"/>
      <color rgb="FF595959"/>
      <name val="Arial"/>
      <family val="2"/>
    </font>
    <font>
      <b/>
      <sz val="20"/>
      <color rgb="FF1F3864"/>
      <name val="Arial"/>
      <family val="2"/>
    </font>
    <font>
      <sz val="8"/>
      <color rgb="FF595959"/>
      <name val="Arial"/>
      <family val="2"/>
    </font>
    <font>
      <b/>
      <sz val="12"/>
      <color rgb="FF1F3864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i/>
      <sz val="8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6"/>
      <color rgb="FF1F3864"/>
      <name val="Arial"/>
      <family val="2"/>
    </font>
    <font>
      <sz val="10"/>
      <color rgb="FF595959"/>
      <name val="Arial"/>
      <family val="2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B93"/>
        <bgColor indexed="64"/>
      </patternFill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1F38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  <border>
      <left/>
      <right/>
      <top/>
      <bottom style="medium">
        <color rgb="FF1F3864"/>
      </bottom>
      <diagonal/>
    </border>
    <border>
      <left/>
      <right style="thin">
        <color rgb="FFBFC8D6"/>
      </right>
      <top style="thin">
        <color rgb="FFBFC8D6"/>
      </top>
      <bottom style="thin">
        <color rgb="FFBFC8D6"/>
      </bottom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8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/>
    <xf numFmtId="1" fontId="0" fillId="0" borderId="0" xfId="0" applyNumberFormat="1"/>
    <xf numFmtId="0" fontId="0" fillId="2" borderId="0" xfId="0" applyFill="1"/>
    <xf numFmtId="0" fontId="0" fillId="0" borderId="7" xfId="0" applyBorder="1"/>
    <xf numFmtId="0" fontId="3" fillId="0" borderId="0" xfId="0" applyFont="1"/>
    <xf numFmtId="9" fontId="0" fillId="0" borderId="0" xfId="2" applyFont="1"/>
    <xf numFmtId="43" fontId="0" fillId="0" borderId="0" xfId="1" applyFont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9" fontId="0" fillId="0" borderId="13" xfId="2" applyFont="1" applyBorder="1"/>
    <xf numFmtId="0" fontId="3" fillId="0" borderId="12" xfId="0" applyFont="1" applyBorder="1"/>
    <xf numFmtId="0" fontId="0" fillId="0" borderId="13" xfId="0" applyBorder="1"/>
    <xf numFmtId="164" fontId="0" fillId="0" borderId="0" xfId="2" applyNumberFormat="1" applyFont="1"/>
    <xf numFmtId="164" fontId="0" fillId="0" borderId="13" xfId="2" applyNumberFormat="1" applyFont="1" applyBorder="1"/>
    <xf numFmtId="0" fontId="0" fillId="0" borderId="14" xfId="0" applyBorder="1"/>
    <xf numFmtId="9" fontId="0" fillId="0" borderId="7" xfId="2" applyFont="1" applyBorder="1"/>
    <xf numFmtId="164" fontId="0" fillId="0" borderId="7" xfId="2" applyNumberFormat="1" applyFont="1" applyBorder="1"/>
    <xf numFmtId="164" fontId="0" fillId="0" borderId="15" xfId="2" applyNumberFormat="1" applyFont="1" applyBorder="1"/>
    <xf numFmtId="0" fontId="3" fillId="0" borderId="8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5" fillId="0" borderId="17" xfId="0" applyFont="1" applyBorder="1"/>
    <xf numFmtId="0" fontId="0" fillId="0" borderId="17" xfId="0" applyBorder="1"/>
    <xf numFmtId="0" fontId="16" fillId="4" borderId="0" xfId="0" applyFont="1" applyFill="1" applyAlignment="1">
      <alignment horizontal="center"/>
    </xf>
    <xf numFmtId="0" fontId="17" fillId="0" borderId="16" xfId="0" applyFont="1" applyBorder="1"/>
    <xf numFmtId="2" fontId="17" fillId="0" borderId="16" xfId="0" applyNumberFormat="1" applyFont="1" applyBorder="1"/>
    <xf numFmtId="165" fontId="17" fillId="0" borderId="16" xfId="0" applyNumberFormat="1" applyFont="1" applyBorder="1"/>
    <xf numFmtId="166" fontId="17" fillId="0" borderId="16" xfId="0" applyNumberFormat="1" applyFont="1" applyBorder="1"/>
    <xf numFmtId="167" fontId="17" fillId="0" borderId="16" xfId="0" applyNumberFormat="1" applyFont="1" applyBorder="1"/>
    <xf numFmtId="0" fontId="18" fillId="0" borderId="0" xfId="0" applyFont="1"/>
    <xf numFmtId="0" fontId="20" fillId="0" borderId="0" xfId="0" applyFont="1"/>
    <xf numFmtId="0" fontId="14" fillId="0" borderId="0" xfId="0" applyFont="1"/>
    <xf numFmtId="168" fontId="16" fillId="4" borderId="0" xfId="0" applyNumberFormat="1" applyFont="1" applyFill="1" applyAlignment="1">
      <alignment horizontal="center"/>
    </xf>
    <xf numFmtId="9" fontId="19" fillId="0" borderId="16" xfId="0" applyNumberFormat="1" applyFont="1" applyBorder="1" applyAlignment="1">
      <alignment horizontal="center"/>
    </xf>
    <xf numFmtId="169" fontId="17" fillId="0" borderId="16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0" borderId="16" xfId="0" applyFont="1" applyBorder="1"/>
    <xf numFmtId="2" fontId="8" fillId="0" borderId="16" xfId="0" applyNumberFormat="1" applyFont="1" applyBorder="1"/>
    <xf numFmtId="165" fontId="8" fillId="0" borderId="16" xfId="0" applyNumberFormat="1" applyFont="1" applyBorder="1"/>
    <xf numFmtId="166" fontId="7" fillId="0" borderId="16" xfId="0" applyNumberFormat="1" applyFont="1" applyBorder="1"/>
    <xf numFmtId="167" fontId="7" fillId="0" borderId="16" xfId="0" applyNumberFormat="1" applyFont="1" applyBorder="1"/>
    <xf numFmtId="0" fontId="9" fillId="0" borderId="0" xfId="0" applyFont="1"/>
    <xf numFmtId="2" fontId="7" fillId="0" borderId="16" xfId="0" applyNumberFormat="1" applyFont="1" applyBorder="1"/>
    <xf numFmtId="3" fontId="8" fillId="0" borderId="16" xfId="0" applyNumberFormat="1" applyFont="1" applyBorder="1"/>
    <xf numFmtId="164" fontId="7" fillId="0" borderId="16" xfId="0" applyNumberFormat="1" applyFont="1" applyBorder="1"/>
    <xf numFmtId="1" fontId="7" fillId="0" borderId="16" xfId="0" applyNumberFormat="1" applyFont="1" applyBorder="1"/>
    <xf numFmtId="0" fontId="25" fillId="6" borderId="19" xfId="0" applyFont="1" applyFill="1" applyBorder="1"/>
    <xf numFmtId="0" fontId="26" fillId="0" borderId="19" xfId="0" applyFont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0" fillId="0" borderId="0" xfId="0"/>
    <xf numFmtId="0" fontId="24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12" fillId="5" borderId="0" xfId="0" applyFont="1" applyFill="1" applyAlignment="1">
      <alignment horizontal="center" vertical="center"/>
    </xf>
    <xf numFmtId="3" fontId="17" fillId="0" borderId="16" xfId="0" applyNumberFormat="1" applyFont="1" applyBorder="1" applyAlignment="1">
      <alignment horizontal="right"/>
    </xf>
    <xf numFmtId="0" fontId="0" fillId="0" borderId="18" xfId="0" applyBorder="1"/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0" borderId="16" xfId="0" applyFont="1" applyBorder="1" applyAlignment="1">
      <alignment horizontal="right"/>
    </xf>
    <xf numFmtId="4" fontId="17" fillId="0" borderId="16" xfId="0" applyNumberFormat="1" applyFont="1" applyBorder="1" applyAlignment="1">
      <alignment horizontal="right"/>
    </xf>
    <xf numFmtId="1" fontId="17" fillId="0" borderId="16" xfId="0" applyNumberFormat="1" applyFont="1" applyBorder="1" applyAlignment="1">
      <alignment horizontal="right"/>
    </xf>
    <xf numFmtId="164" fontId="13" fillId="5" borderId="0" xfId="0" applyNumberFormat="1" applyFont="1" applyFill="1" applyAlignment="1">
      <alignment horizontal="center" vertical="center"/>
    </xf>
    <xf numFmtId="165" fontId="17" fillId="0" borderId="16" xfId="0" applyNumberFormat="1" applyFont="1" applyBorder="1" applyAlignment="1">
      <alignment horizontal="right"/>
    </xf>
    <xf numFmtId="0" fontId="17" fillId="0" borderId="0" xfId="0" applyFont="1" applyAlignment="1">
      <alignment vertical="top" wrapText="1"/>
    </xf>
    <xf numFmtId="0" fontId="19" fillId="0" borderId="16" xfId="0" applyFont="1" applyBorder="1" applyAlignment="1">
      <alignment horizontal="right"/>
    </xf>
    <xf numFmtId="2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171" fontId="0" fillId="0" borderId="0" xfId="1" applyNumberFormat="1" applyFont="1"/>
    <xf numFmtId="171" fontId="0" fillId="0" borderId="13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Change in fund BEL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Dashboard!$B$11:$B$13</c:f>
              <c:strCache>
                <c:ptCount val="3"/>
                <c:pt idx="0">
                  <c:v>Longevity -20% q</c:v>
                </c:pt>
                <c:pt idx="1">
                  <c:v>Rates -1%</c:v>
                </c:pt>
                <c:pt idx="2">
                  <c:v>Rates +1%</c:v>
                </c:pt>
              </c:strCache>
            </c:strRef>
          </c:cat>
          <c:val>
            <c:numRef>
              <c:f>Dashboard!$F$11:$F$13</c:f>
              <c:numCache>
                <c:formatCode>0.0%;\-0.0%;\-</c:formatCode>
                <c:ptCount val="3"/>
                <c:pt idx="0">
                  <c:v>7.8075450556768899E-2</c:v>
                </c:pt>
                <c:pt idx="1">
                  <c:v>0.15904284753272058</c:v>
                </c:pt>
                <c:pt idx="2">
                  <c:v>-0.12445825825117596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A8-304B-9AD3-9DBB3CAECDB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Expected payments, selected participant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Calc!$A$7:$A$87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cat>
          <c:val>
            <c:numRef>
              <c:f>Calc!$F$7:$F$87</c:f>
              <c:numCache>
                <c:formatCode>General</c:formatCode>
                <c:ptCount val="81"/>
                <c:pt idx="0">
                  <c:v>21911.59</c:v>
                </c:pt>
                <c:pt idx="1">
                  <c:v>20458.292836373283</c:v>
                </c:pt>
                <c:pt idx="2">
                  <c:v>18954.054739365147</c:v>
                </c:pt>
                <c:pt idx="3">
                  <c:v>17397.151464256815</c:v>
                </c:pt>
                <c:pt idx="4">
                  <c:v>15769.464148407938</c:v>
                </c:pt>
                <c:pt idx="5">
                  <c:v>14110.357887172559</c:v>
                </c:pt>
                <c:pt idx="6">
                  <c:v>12438.088548362864</c:v>
                </c:pt>
                <c:pt idx="7">
                  <c:v>10761.140846981401</c:v>
                </c:pt>
                <c:pt idx="8">
                  <c:v>9142.0026346320392</c:v>
                </c:pt>
                <c:pt idx="9">
                  <c:v>7574.9716698198617</c:v>
                </c:pt>
                <c:pt idx="10">
                  <c:v>6154.8087825244356</c:v>
                </c:pt>
                <c:pt idx="11">
                  <c:v>4864.4292209418281</c:v>
                </c:pt>
                <c:pt idx="12">
                  <c:v>3709.2789533779178</c:v>
                </c:pt>
                <c:pt idx="13">
                  <c:v>2769.0073875121097</c:v>
                </c:pt>
                <c:pt idx="14">
                  <c:v>1981.1693870201334</c:v>
                </c:pt>
                <c:pt idx="15">
                  <c:v>1384.2172450649907</c:v>
                </c:pt>
                <c:pt idx="16">
                  <c:v>940.8027631374963</c:v>
                </c:pt>
                <c:pt idx="17">
                  <c:v>615.08593776917667</c:v>
                </c:pt>
                <c:pt idx="18">
                  <c:v>394.08724389934372</c:v>
                </c:pt>
                <c:pt idx="19">
                  <c:v>250.06839467067283</c:v>
                </c:pt>
                <c:pt idx="20">
                  <c:v>143.653098424993</c:v>
                </c:pt>
                <c:pt idx="21">
                  <c:v>77.944674122390509</c:v>
                </c:pt>
                <c:pt idx="22">
                  <c:v>39.69252648419841</c:v>
                </c:pt>
                <c:pt idx="23">
                  <c:v>18.835994639551288</c:v>
                </c:pt>
                <c:pt idx="24">
                  <c:v>8.2634666577681664</c:v>
                </c:pt>
                <c:pt idx="25">
                  <c:v>3.3216143257290001</c:v>
                </c:pt>
                <c:pt idx="26">
                  <c:v>1.2111516519993231</c:v>
                </c:pt>
                <c:pt idx="27">
                  <c:v>0.39612224989095313</c:v>
                </c:pt>
                <c:pt idx="28">
                  <c:v>0.11475245893249396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6-714A-B381-7EF3C3A8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from valuation 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L"/>
                  <a:t>€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468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4775200" cy="2527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52"/>
  <sheetViews>
    <sheetView showGridLines="0" tabSelected="1" topLeftCell="A30" workbookViewId="0"/>
  </sheetViews>
  <sheetFormatPr baseColWidth="10" defaultColWidth="8.83203125" defaultRowHeight="15" x14ac:dyDescent="0.2"/>
  <cols>
    <col min="1" max="1" width="2" customWidth="1"/>
    <col min="2" max="2" width="22" customWidth="1"/>
    <col min="3" max="3" width="95" customWidth="1"/>
  </cols>
  <sheetData>
    <row r="1" spans="2:3" ht="24" customHeight="1" x14ac:dyDescent="0.2">
      <c r="B1" s="67" t="s">
        <v>0</v>
      </c>
      <c r="C1" s="64"/>
    </row>
    <row r="2" spans="2:3" x14ac:dyDescent="0.2">
      <c r="B2" s="66" t="s">
        <v>1</v>
      </c>
      <c r="C2" s="64"/>
    </row>
    <row r="4" spans="2:3" x14ac:dyDescent="0.2">
      <c r="B4" s="63" t="s">
        <v>2</v>
      </c>
      <c r="C4" s="64"/>
    </row>
    <row r="5" spans="2:3" ht="42" customHeight="1" x14ac:dyDescent="0.2">
      <c r="B5" s="65" t="s">
        <v>3</v>
      </c>
      <c r="C5" s="64"/>
    </row>
    <row r="7" spans="2:3" x14ac:dyDescent="0.2">
      <c r="B7" s="63" t="s">
        <v>4</v>
      </c>
      <c r="C7" s="64"/>
    </row>
    <row r="8" spans="2:3" x14ac:dyDescent="0.2">
      <c r="B8" s="60" t="s">
        <v>5</v>
      </c>
      <c r="C8" s="60" t="s">
        <v>6</v>
      </c>
    </row>
    <row r="9" spans="2:3" ht="30" customHeight="1" x14ac:dyDescent="0.2">
      <c r="B9" s="61" t="s">
        <v>7</v>
      </c>
      <c r="C9" s="62" t="s">
        <v>8</v>
      </c>
    </row>
    <row r="10" spans="2:3" ht="45" customHeight="1" x14ac:dyDescent="0.2">
      <c r="B10" s="61" t="s">
        <v>9</v>
      </c>
      <c r="C10" s="62" t="s">
        <v>10</v>
      </c>
    </row>
    <row r="11" spans="2:3" ht="30" customHeight="1" x14ac:dyDescent="0.2">
      <c r="B11" s="61" t="s">
        <v>11</v>
      </c>
      <c r="C11" s="62" t="s">
        <v>12</v>
      </c>
    </row>
    <row r="13" spans="2:3" x14ac:dyDescent="0.2">
      <c r="B13" s="63" t="s">
        <v>13</v>
      </c>
      <c r="C13" s="64"/>
    </row>
    <row r="14" spans="2:3" x14ac:dyDescent="0.2">
      <c r="B14" s="60" t="s">
        <v>14</v>
      </c>
      <c r="C14" s="60" t="s">
        <v>15</v>
      </c>
    </row>
    <row r="15" spans="2:3" ht="15" customHeight="1" x14ac:dyDescent="0.2">
      <c r="B15" s="61" t="s">
        <v>16</v>
      </c>
      <c r="C15" s="62" t="s">
        <v>17</v>
      </c>
    </row>
    <row r="16" spans="2:3" ht="15" customHeight="1" x14ac:dyDescent="0.2">
      <c r="B16" s="61" t="s">
        <v>18</v>
      </c>
      <c r="C16" s="62" t="s">
        <v>19</v>
      </c>
    </row>
    <row r="17" spans="2:3" ht="15" customHeight="1" x14ac:dyDescent="0.2">
      <c r="B17" s="61" t="s">
        <v>20</v>
      </c>
      <c r="C17" s="62" t="s">
        <v>21</v>
      </c>
    </row>
    <row r="18" spans="2:3" ht="30" customHeight="1" x14ac:dyDescent="0.2">
      <c r="B18" s="61" t="s">
        <v>22</v>
      </c>
      <c r="C18" s="62" t="s">
        <v>23</v>
      </c>
    </row>
    <row r="19" spans="2:3" ht="15" customHeight="1" x14ac:dyDescent="0.2">
      <c r="B19" s="61" t="s">
        <v>24</v>
      </c>
      <c r="C19" s="62" t="s">
        <v>25</v>
      </c>
    </row>
    <row r="20" spans="2:3" ht="15" customHeight="1" x14ac:dyDescent="0.2">
      <c r="B20" s="61" t="s">
        <v>26</v>
      </c>
      <c r="C20" s="62" t="s">
        <v>27</v>
      </c>
    </row>
    <row r="21" spans="2:3" ht="15" customHeight="1" x14ac:dyDescent="0.2">
      <c r="B21" s="61" t="s">
        <v>28</v>
      </c>
      <c r="C21" s="62" t="s">
        <v>29</v>
      </c>
    </row>
    <row r="22" spans="2:3" ht="30" customHeight="1" x14ac:dyDescent="0.2">
      <c r="B22" s="61" t="s">
        <v>30</v>
      </c>
      <c r="C22" s="62" t="s">
        <v>31</v>
      </c>
    </row>
    <row r="23" spans="2:3" ht="15" customHeight="1" x14ac:dyDescent="0.2">
      <c r="B23" s="61" t="s">
        <v>32</v>
      </c>
      <c r="C23" s="62" t="s">
        <v>33</v>
      </c>
    </row>
    <row r="24" spans="2:3" ht="30" customHeight="1" x14ac:dyDescent="0.2">
      <c r="B24" s="61" t="s">
        <v>34</v>
      </c>
      <c r="C24" s="62" t="s">
        <v>35</v>
      </c>
    </row>
    <row r="26" spans="2:3" x14ac:dyDescent="0.2">
      <c r="B26" s="63" t="s">
        <v>36</v>
      </c>
      <c r="C26" s="64"/>
    </row>
    <row r="27" spans="2:3" x14ac:dyDescent="0.2">
      <c r="B27" s="60" t="s">
        <v>37</v>
      </c>
      <c r="C27" s="60" t="s">
        <v>38</v>
      </c>
    </row>
    <row r="28" spans="2:3" ht="15" customHeight="1" x14ac:dyDescent="0.2">
      <c r="B28" s="61" t="s">
        <v>39</v>
      </c>
      <c r="C28" s="62" t="s">
        <v>40</v>
      </c>
    </row>
    <row r="29" spans="2:3" ht="15" customHeight="1" x14ac:dyDescent="0.2">
      <c r="B29" s="61" t="s">
        <v>41</v>
      </c>
      <c r="C29" s="62" t="s">
        <v>42</v>
      </c>
    </row>
    <row r="30" spans="2:3" ht="15" customHeight="1" x14ac:dyDescent="0.2">
      <c r="B30" s="61" t="s">
        <v>43</v>
      </c>
      <c r="C30" s="62" t="s">
        <v>44</v>
      </c>
    </row>
    <row r="31" spans="2:3" ht="30" customHeight="1" x14ac:dyDescent="0.2">
      <c r="B31" s="61" t="s">
        <v>45</v>
      </c>
      <c r="C31" s="62" t="s">
        <v>46</v>
      </c>
    </row>
    <row r="32" spans="2:3" ht="15" customHeight="1" x14ac:dyDescent="0.2">
      <c r="B32" s="61" t="s">
        <v>47</v>
      </c>
      <c r="C32" s="62" t="s">
        <v>48</v>
      </c>
    </row>
    <row r="33" spans="2:3" ht="15" customHeight="1" x14ac:dyDescent="0.2">
      <c r="B33" s="61" t="s">
        <v>49</v>
      </c>
      <c r="C33" s="62" t="s">
        <v>50</v>
      </c>
    </row>
    <row r="35" spans="2:3" x14ac:dyDescent="0.2">
      <c r="B35" s="63" t="s">
        <v>51</v>
      </c>
      <c r="C35" s="64"/>
    </row>
    <row r="36" spans="2:3" x14ac:dyDescent="0.2">
      <c r="B36" s="60" t="s">
        <v>52</v>
      </c>
      <c r="C36" s="60" t="s">
        <v>53</v>
      </c>
    </row>
    <row r="37" spans="2:3" ht="15" customHeight="1" x14ac:dyDescent="0.2">
      <c r="B37" s="61" t="s">
        <v>54</v>
      </c>
      <c r="C37" s="62" t="s">
        <v>55</v>
      </c>
    </row>
    <row r="38" spans="2:3" ht="15" customHeight="1" x14ac:dyDescent="0.2">
      <c r="B38" s="61" t="s">
        <v>56</v>
      </c>
      <c r="C38" s="62" t="s">
        <v>57</v>
      </c>
    </row>
    <row r="39" spans="2:3" ht="15" customHeight="1" x14ac:dyDescent="0.2">
      <c r="B39" s="61" t="s">
        <v>58</v>
      </c>
      <c r="C39" s="62" t="s">
        <v>59</v>
      </c>
    </row>
    <row r="40" spans="2:3" ht="15" customHeight="1" x14ac:dyDescent="0.2">
      <c r="B40" s="61" t="s">
        <v>60</v>
      </c>
      <c r="C40" s="62" t="s">
        <v>61</v>
      </c>
    </row>
    <row r="41" spans="2:3" ht="15" customHeight="1" x14ac:dyDescent="0.2">
      <c r="B41" s="61" t="s">
        <v>62</v>
      </c>
      <c r="C41" s="62" t="s">
        <v>63</v>
      </c>
    </row>
    <row r="43" spans="2:3" x14ac:dyDescent="0.2">
      <c r="B43" s="63" t="s">
        <v>64</v>
      </c>
      <c r="C43" s="64"/>
    </row>
    <row r="44" spans="2:3" x14ac:dyDescent="0.2">
      <c r="B44" s="65" t="s">
        <v>65</v>
      </c>
      <c r="C44" s="64"/>
    </row>
    <row r="45" spans="2:3" ht="28" customHeight="1" x14ac:dyDescent="0.2">
      <c r="B45" s="65" t="s">
        <v>66</v>
      </c>
      <c r="C45" s="64"/>
    </row>
    <row r="46" spans="2:3" x14ac:dyDescent="0.2">
      <c r="B46" s="65" t="s">
        <v>67</v>
      </c>
      <c r="C46" s="64"/>
    </row>
    <row r="48" spans="2:3" x14ac:dyDescent="0.2">
      <c r="B48" s="63" t="s">
        <v>68</v>
      </c>
      <c r="C48" s="64"/>
    </row>
    <row r="49" spans="2:3" ht="42" customHeight="1" x14ac:dyDescent="0.2">
      <c r="B49" s="65" t="s">
        <v>69</v>
      </c>
      <c r="C49" s="64"/>
    </row>
    <row r="51" spans="2:3" x14ac:dyDescent="0.2">
      <c r="B51" s="63" t="s">
        <v>70</v>
      </c>
      <c r="C51" s="64"/>
    </row>
    <row r="52" spans="2:3" ht="28" customHeight="1" x14ac:dyDescent="0.2">
      <c r="B52" s="65" t="s">
        <v>71</v>
      </c>
      <c r="C52" s="64"/>
    </row>
  </sheetData>
  <mergeCells count="16">
    <mergeCell ref="B1:C1"/>
    <mergeCell ref="B49:C49"/>
    <mergeCell ref="B35:C35"/>
    <mergeCell ref="B4:C4"/>
    <mergeCell ref="B43:C43"/>
    <mergeCell ref="B13:C13"/>
    <mergeCell ref="B52:C52"/>
    <mergeCell ref="B44:C44"/>
    <mergeCell ref="B48:C48"/>
    <mergeCell ref="B2:C2"/>
    <mergeCell ref="B7:C7"/>
    <mergeCell ref="B5:C5"/>
    <mergeCell ref="B51:C51"/>
    <mergeCell ref="B45:C45"/>
    <mergeCell ref="B46:C46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M52"/>
  <sheetViews>
    <sheetView showGridLines="0" topLeftCell="A17" workbookViewId="0"/>
  </sheetViews>
  <sheetFormatPr baseColWidth="10" defaultRowHeight="15" x14ac:dyDescent="0.2"/>
  <cols>
    <col min="1" max="1" width="2" customWidth="1"/>
    <col min="2" max="2" width="22" customWidth="1"/>
    <col min="3" max="13" width="13" customWidth="1"/>
  </cols>
  <sheetData>
    <row r="1" spans="2:11" ht="23" customHeight="1" x14ac:dyDescent="0.25">
      <c r="B1" s="31" t="s">
        <v>72</v>
      </c>
    </row>
    <row r="2" spans="2:11" x14ac:dyDescent="0.2">
      <c r="B2" s="32" t="s">
        <v>73</v>
      </c>
    </row>
    <row r="4" spans="2:11" x14ac:dyDescent="0.2">
      <c r="B4" s="68" t="s">
        <v>74</v>
      </c>
      <c r="C4" s="64"/>
      <c r="D4" s="68" t="s">
        <v>75</v>
      </c>
      <c r="E4" s="64"/>
      <c r="F4" s="68" t="s">
        <v>76</v>
      </c>
      <c r="G4" s="64"/>
      <c r="H4" s="68" t="s">
        <v>77</v>
      </c>
      <c r="I4" s="64"/>
      <c r="J4" s="68" t="s">
        <v>78</v>
      </c>
      <c r="K4" s="64"/>
    </row>
    <row r="5" spans="2:11" ht="32" customHeight="1" x14ac:dyDescent="0.2">
      <c r="B5" s="80">
        <f>Python_results!B5</f>
        <v>12.27837900004856</v>
      </c>
      <c r="C5" s="64"/>
      <c r="D5" s="81">
        <f>Python_results!C5</f>
        <v>14.48991097673278</v>
      </c>
      <c r="E5" s="64"/>
      <c r="F5" s="76">
        <f>Python_results!B20</f>
        <v>4.7481837789637722E-2</v>
      </c>
      <c r="G5" s="64"/>
      <c r="H5" s="76">
        <f>Python_results!B21</f>
        <v>7.8075450556768899E-2</v>
      </c>
      <c r="I5" s="64"/>
      <c r="J5" s="71" t="str">
        <f>Reconciliation!F17</f>
        <v>All reconciled</v>
      </c>
      <c r="K5" s="64"/>
    </row>
    <row r="6" spans="2:11" x14ac:dyDescent="0.2">
      <c r="B6" s="72" t="s">
        <v>79</v>
      </c>
      <c r="C6" s="64"/>
      <c r="D6" s="72" t="s">
        <v>80</v>
      </c>
      <c r="E6" s="64"/>
      <c r="F6" s="72" t="str">
        <f>"€"&amp;TEXT(Python_results!B18,"#,##0")&amp;" mln at 99.5%"</f>
        <v>€583,0 mln at 99.5%</v>
      </c>
      <c r="G6" s="64"/>
      <c r="H6" s="72" t="str">
        <f>"€"&amp;TEXT(Python_results!D6,"#,##0")&amp;" mln (−20% q)"</f>
        <v>€958,640 mln (−20% q)</v>
      </c>
      <c r="I6" s="64"/>
      <c r="J6" s="72" t="s">
        <v>81</v>
      </c>
      <c r="K6" s="64"/>
    </row>
    <row r="8" spans="2:11" ht="16" customHeight="1" x14ac:dyDescent="0.2">
      <c r="B8" s="33" t="s">
        <v>82</v>
      </c>
      <c r="C8" s="34"/>
      <c r="D8" s="34"/>
      <c r="E8" s="34"/>
      <c r="F8" s="34"/>
    </row>
    <row r="9" spans="2:11" x14ac:dyDescent="0.2">
      <c r="B9" s="35" t="s">
        <v>83</v>
      </c>
      <c r="C9" s="35" t="s">
        <v>84</v>
      </c>
      <c r="D9" s="35" t="s">
        <v>85</v>
      </c>
      <c r="E9" s="35" t="s">
        <v>86</v>
      </c>
      <c r="F9" s="35" t="s">
        <v>87</v>
      </c>
    </row>
    <row r="10" spans="2:11" x14ac:dyDescent="0.2">
      <c r="B10" s="36" t="str">
        <f>Python_results!A5</f>
        <v>Base</v>
      </c>
      <c r="C10" s="37">
        <f>Python_results!B5</f>
        <v>12.27837900004856</v>
      </c>
      <c r="D10" s="38">
        <f>Python_results!C5</f>
        <v>14.48991097673278</v>
      </c>
      <c r="E10" s="39">
        <f>Python_results!D5</f>
        <v>0</v>
      </c>
      <c r="F10" s="40">
        <f>Python_results!E5</f>
        <v>0</v>
      </c>
    </row>
    <row r="11" spans="2:11" x14ac:dyDescent="0.2">
      <c r="B11" s="36" t="str">
        <f>Python_results!A6</f>
        <v>Longevity -20% q</v>
      </c>
      <c r="C11" s="37">
        <f>Python_results!B6</f>
        <v>13.237018972584121</v>
      </c>
      <c r="D11" s="38">
        <f>Python_results!C6</f>
        <v>14.911614383555509</v>
      </c>
      <c r="E11" s="39">
        <f>Python_results!D6</f>
        <v>958.63997253556124</v>
      </c>
      <c r="F11" s="40">
        <f>Python_results!E6</f>
        <v>7.8075450556768899E-2</v>
      </c>
    </row>
    <row r="12" spans="2:11" x14ac:dyDescent="0.2">
      <c r="B12" s="36" t="str">
        <f>Python_results!A7</f>
        <v>Rates -1%</v>
      </c>
      <c r="C12" s="37">
        <f>Python_results!B7</f>
        <v>14.231167359302241</v>
      </c>
      <c r="D12" s="38">
        <f>Python_results!C7</f>
        <v>15.95098850955095</v>
      </c>
      <c r="E12" s="39">
        <f>Python_results!D7</f>
        <v>1952.7883592536809</v>
      </c>
      <c r="F12" s="40">
        <f>Python_results!E7</f>
        <v>0.15904284753272058</v>
      </c>
    </row>
    <row r="13" spans="2:11" x14ac:dyDescent="0.2">
      <c r="B13" s="36" t="str">
        <f>Python_results!A8</f>
        <v>Rates +1%</v>
      </c>
      <c r="C13" s="37">
        <f>Python_results!B8</f>
        <v>10.7502333355547</v>
      </c>
      <c r="D13" s="38">
        <f>Python_results!C8</f>
        <v>13.190895739576909</v>
      </c>
      <c r="E13" s="39">
        <f>Python_results!D8</f>
        <v>-1528.1456644938594</v>
      </c>
      <c r="F13" s="40">
        <f>Python_results!E8</f>
        <v>-0.12445825825117596</v>
      </c>
    </row>
    <row r="14" spans="2:11" x14ac:dyDescent="0.2">
      <c r="B14" s="41" t="s">
        <v>88</v>
      </c>
    </row>
    <row r="17" spans="2:6" ht="16" customHeight="1" x14ac:dyDescent="0.2">
      <c r="B17" s="33" t="s">
        <v>89</v>
      </c>
      <c r="C17" s="34"/>
      <c r="D17" s="34"/>
      <c r="E17" s="34"/>
      <c r="F17" s="34"/>
    </row>
    <row r="18" spans="2:6" x14ac:dyDescent="0.2">
      <c r="B18" s="36" t="s">
        <v>90</v>
      </c>
      <c r="C18" s="69">
        <f>Reconciliation!B17</f>
        <v>1232776.7182913986</v>
      </c>
      <c r="D18" s="70"/>
    </row>
    <row r="19" spans="2:6" x14ac:dyDescent="0.2">
      <c r="B19" s="36" t="s">
        <v>91</v>
      </c>
      <c r="C19" s="69">
        <f>Reconciliation!D17</f>
        <v>1232776.7182913991</v>
      </c>
      <c r="D19" s="70"/>
    </row>
    <row r="20" spans="2:6" x14ac:dyDescent="0.2">
      <c r="B20" s="36" t="s">
        <v>92</v>
      </c>
      <c r="C20" s="74">
        <f>Reconciliation!E17</f>
        <v>0</v>
      </c>
      <c r="D20" s="70"/>
    </row>
    <row r="21" spans="2:6" x14ac:dyDescent="0.2">
      <c r="B21" s="36" t="s">
        <v>93</v>
      </c>
      <c r="C21" s="79" t="str">
        <f>Reconciliation!F17</f>
        <v>All reconciled</v>
      </c>
      <c r="D21" s="70"/>
    </row>
    <row r="24" spans="2:6" ht="16" customHeight="1" x14ac:dyDescent="0.2">
      <c r="B24" s="33" t="s">
        <v>94</v>
      </c>
      <c r="C24" s="34"/>
      <c r="D24" s="34"/>
    </row>
    <row r="25" spans="2:6" x14ac:dyDescent="0.2">
      <c r="B25" s="36" t="s">
        <v>95</v>
      </c>
      <c r="C25" s="75">
        <f>Reconciliation!B1</f>
        <v>77945</v>
      </c>
      <c r="D25" s="70"/>
    </row>
    <row r="26" spans="2:6" x14ac:dyDescent="0.2">
      <c r="B26" s="36" t="s">
        <v>96</v>
      </c>
      <c r="C26" s="73" t="str">
        <f>Calc!B2</f>
        <v>Male</v>
      </c>
      <c r="D26" s="70"/>
    </row>
    <row r="27" spans="2:6" x14ac:dyDescent="0.2">
      <c r="B27" s="36" t="s">
        <v>97</v>
      </c>
      <c r="C27" s="75">
        <f>Calc!B3</f>
        <v>82</v>
      </c>
      <c r="D27" s="70"/>
    </row>
    <row r="28" spans="2:6" x14ac:dyDescent="0.2">
      <c r="B28" s="36" t="s">
        <v>98</v>
      </c>
      <c r="C28" s="69">
        <f>Calc!B4</f>
        <v>21911.59</v>
      </c>
      <c r="D28" s="70"/>
    </row>
    <row r="29" spans="2:6" x14ac:dyDescent="0.2">
      <c r="B29" s="36" t="s">
        <v>99</v>
      </c>
      <c r="C29" s="69">
        <f>Calc!L6</f>
        <v>146954.86103014241</v>
      </c>
      <c r="D29" s="70"/>
    </row>
    <row r="30" spans="2:6" x14ac:dyDescent="0.2">
      <c r="B30" s="36" t="s">
        <v>100</v>
      </c>
      <c r="C30" s="69">
        <f>Calc!B5</f>
        <v>146954.86103014249</v>
      </c>
      <c r="D30" s="70"/>
    </row>
    <row r="31" spans="2:6" x14ac:dyDescent="0.2">
      <c r="B31" s="36" t="s">
        <v>75</v>
      </c>
      <c r="C31" s="77">
        <f>Calc!L7</f>
        <v>4.2558191742717808</v>
      </c>
      <c r="D31" s="70"/>
    </row>
    <row r="40" spans="2:13" ht="16" customHeight="1" x14ac:dyDescent="0.2">
      <c r="B40" s="33" t="s">
        <v>101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x14ac:dyDescent="0.2">
      <c r="B41" s="42" t="s">
        <v>102</v>
      </c>
      <c r="G41" s="42" t="s">
        <v>103</v>
      </c>
    </row>
    <row r="42" spans="2:13" x14ac:dyDescent="0.2">
      <c r="B42" s="43" t="s">
        <v>104</v>
      </c>
      <c r="C42" s="44">
        <f>Assumptions!H26</f>
        <v>-0.01</v>
      </c>
      <c r="D42" s="44">
        <f>Assumptions!I26</f>
        <v>0</v>
      </c>
      <c r="E42" s="44">
        <f>Assumptions!J26</f>
        <v>0.01</v>
      </c>
      <c r="G42" s="43" t="s">
        <v>104</v>
      </c>
      <c r="H42" s="44">
        <f>Assumptions!N26</f>
        <v>-0.01</v>
      </c>
      <c r="I42" s="44">
        <f>Assumptions!O26</f>
        <v>0</v>
      </c>
      <c r="J42" s="44">
        <f>Assumptions!P26</f>
        <v>0.01</v>
      </c>
    </row>
    <row r="43" spans="2:13" x14ac:dyDescent="0.2">
      <c r="B43" s="45">
        <f>Assumptions!G27</f>
        <v>0</v>
      </c>
      <c r="C43" s="46">
        <f>Assumptions!H27</f>
        <v>4.2869551598894162E-2</v>
      </c>
      <c r="D43" s="46">
        <f>Assumptions!I27</f>
        <v>0</v>
      </c>
      <c r="E43" s="46">
        <f>Assumptions!J27</f>
        <v>-3.9473756403292537E-2</v>
      </c>
      <c r="G43" s="45">
        <f>Assumptions!M27</f>
        <v>0</v>
      </c>
      <c r="H43" s="46">
        <f>Assumptions!N27</f>
        <v>0.28391439857535405</v>
      </c>
      <c r="I43" s="46">
        <f>Assumptions!O27</f>
        <v>0</v>
      </c>
      <c r="J43" s="46">
        <f>Assumptions!P27</f>
        <v>-0.21542490647932766</v>
      </c>
    </row>
    <row r="44" spans="2:13" x14ac:dyDescent="0.2">
      <c r="B44" s="45">
        <f>Assumptions!G28</f>
        <v>0.1</v>
      </c>
      <c r="C44" s="46">
        <f>Assumptions!H28</f>
        <v>0.10225906631107096</v>
      </c>
      <c r="D44" s="46">
        <f>Assumptions!I28</f>
        <v>5.4277395373824699E-2</v>
      </c>
      <c r="E44" s="46">
        <f>Assumptions!J28</f>
        <v>1.0266767622047368E-2</v>
      </c>
      <c r="G44" s="45">
        <f>Assumptions!M28</f>
        <v>0.1</v>
      </c>
      <c r="H44" s="46">
        <f>Assumptions!N28</f>
        <v>0.32887808161052123</v>
      </c>
      <c r="I44" s="46">
        <f>Assumptions!O28</f>
        <v>3.2364583575680062E-2</v>
      </c>
      <c r="J44" s="46">
        <f>Assumptions!P28</f>
        <v>-0.19189048071297976</v>
      </c>
    </row>
    <row r="45" spans="2:13" x14ac:dyDescent="0.2">
      <c r="B45" s="45">
        <f>Assumptions!G29</f>
        <v>0.2</v>
      </c>
      <c r="C45" s="46">
        <f>Assumptions!H29</f>
        <v>0.17086089726636122</v>
      </c>
      <c r="D45" s="46">
        <f>Assumptions!I29</f>
        <v>0.1166264448304315</v>
      </c>
      <c r="E45" s="46">
        <f>Assumptions!J29</f>
        <v>6.7102273587350769E-2</v>
      </c>
      <c r="G45" s="45">
        <f>Assumptions!M29</f>
        <v>0.2</v>
      </c>
      <c r="H45" s="46">
        <f>Assumptions!N29</f>
        <v>0.37845157687743658</v>
      </c>
      <c r="I45" s="46">
        <f>Assumptions!O29</f>
        <v>6.778320177583308E-2</v>
      </c>
      <c r="J45" s="46">
        <f>Assumptions!P29</f>
        <v>-0.16631551342189554</v>
      </c>
    </row>
    <row r="47" spans="2:13" x14ac:dyDescent="0.2">
      <c r="B47" s="78" t="s">
        <v>105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spans="2:13" x14ac:dyDescent="0.2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spans="2:13" x14ac:dyDescent="0.2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spans="2:13" x14ac:dyDescent="0.2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2" spans="2:13" x14ac:dyDescent="0.2">
      <c r="B52" s="41" t="s">
        <v>106</v>
      </c>
    </row>
  </sheetData>
  <mergeCells count="27">
    <mergeCell ref="C31:D31"/>
    <mergeCell ref="B47:M50"/>
    <mergeCell ref="J4:K4"/>
    <mergeCell ref="C21:D21"/>
    <mergeCell ref="C27:D27"/>
    <mergeCell ref="D4:E4"/>
    <mergeCell ref="B6:C6"/>
    <mergeCell ref="B5:C5"/>
    <mergeCell ref="D5:E5"/>
    <mergeCell ref="C19:D19"/>
    <mergeCell ref="C28:D28"/>
    <mergeCell ref="H5:I5"/>
    <mergeCell ref="C18:D18"/>
    <mergeCell ref="B4:C4"/>
    <mergeCell ref="F4:G4"/>
    <mergeCell ref="C30:D30"/>
    <mergeCell ref="J5:K5"/>
    <mergeCell ref="F6:G6"/>
    <mergeCell ref="H4:I4"/>
    <mergeCell ref="C26:D26"/>
    <mergeCell ref="D6:E6"/>
    <mergeCell ref="C20:D20"/>
    <mergeCell ref="C29:D29"/>
    <mergeCell ref="H6:I6"/>
    <mergeCell ref="J6:K6"/>
    <mergeCell ref="C25:D25"/>
    <mergeCell ref="F5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="125" workbookViewId="0">
      <selection activeCell="A11" sqref="A11"/>
    </sheetView>
  </sheetViews>
  <sheetFormatPr baseColWidth="10" defaultColWidth="8.83203125" defaultRowHeight="15" x14ac:dyDescent="0.2"/>
  <sheetData>
    <row r="1" spans="1:5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">
      <c r="A2">
        <v>7142</v>
      </c>
      <c r="B2" t="s">
        <v>112</v>
      </c>
      <c r="C2">
        <v>52</v>
      </c>
      <c r="D2">
        <v>23924.69</v>
      </c>
      <c r="E2">
        <v>184056.49283363181</v>
      </c>
    </row>
    <row r="3" spans="1:5" x14ac:dyDescent="0.2">
      <c r="A3">
        <v>27818</v>
      </c>
      <c r="B3" t="s">
        <v>112</v>
      </c>
      <c r="C3">
        <v>59</v>
      </c>
      <c r="D3">
        <v>22987.24</v>
      </c>
      <c r="E3">
        <v>225429.59271730561</v>
      </c>
    </row>
    <row r="4" spans="1:5" x14ac:dyDescent="0.2">
      <c r="A4">
        <v>43572</v>
      </c>
      <c r="B4" t="s">
        <v>112</v>
      </c>
      <c r="C4">
        <v>49</v>
      </c>
      <c r="D4">
        <v>11080.38</v>
      </c>
      <c r="E4">
        <v>77354.686263252806</v>
      </c>
    </row>
    <row r="5" spans="1:5" x14ac:dyDescent="0.2">
      <c r="A5">
        <v>52877</v>
      </c>
      <c r="B5" t="s">
        <v>113</v>
      </c>
      <c r="C5">
        <v>55</v>
      </c>
      <c r="D5">
        <v>3750.25</v>
      </c>
      <c r="E5">
        <v>30576.430655697201</v>
      </c>
    </row>
    <row r="6" spans="1:5" x14ac:dyDescent="0.2">
      <c r="A6">
        <v>39845</v>
      </c>
      <c r="B6" t="s">
        <v>113</v>
      </c>
      <c r="C6">
        <v>39</v>
      </c>
      <c r="D6">
        <v>6088.61</v>
      </c>
      <c r="E6">
        <v>30927.533420375719</v>
      </c>
    </row>
    <row r="7" spans="1:5" x14ac:dyDescent="0.2">
      <c r="A7">
        <v>77945</v>
      </c>
      <c r="B7" t="s">
        <v>113</v>
      </c>
      <c r="C7">
        <v>82</v>
      </c>
      <c r="D7">
        <v>21911.59</v>
      </c>
      <c r="E7">
        <v>146954.86103014249</v>
      </c>
    </row>
    <row r="8" spans="1:5" x14ac:dyDescent="0.2">
      <c r="A8">
        <v>86536</v>
      </c>
      <c r="B8" t="s">
        <v>112</v>
      </c>
      <c r="C8">
        <v>92</v>
      </c>
      <c r="D8">
        <v>21054.15</v>
      </c>
      <c r="E8">
        <v>81100.090443025809</v>
      </c>
    </row>
    <row r="9" spans="1:5" x14ac:dyDescent="0.2">
      <c r="A9">
        <v>96726</v>
      </c>
      <c r="B9" t="s">
        <v>113</v>
      </c>
      <c r="C9">
        <v>70</v>
      </c>
      <c r="D9">
        <v>15514.76</v>
      </c>
      <c r="E9">
        <v>189793.945567605</v>
      </c>
    </row>
    <row r="10" spans="1:5" x14ac:dyDescent="0.2">
      <c r="A10">
        <v>86333</v>
      </c>
      <c r="B10" t="s">
        <v>113</v>
      </c>
      <c r="C10">
        <v>91</v>
      </c>
      <c r="D10">
        <v>36441.47</v>
      </c>
      <c r="E10">
        <v>134028.93684643289</v>
      </c>
    </row>
    <row r="11" spans="1:5" x14ac:dyDescent="0.2">
      <c r="A11">
        <v>90629</v>
      </c>
      <c r="B11" t="s">
        <v>113</v>
      </c>
      <c r="C11">
        <v>87</v>
      </c>
      <c r="D11">
        <v>27546.84</v>
      </c>
      <c r="E11">
        <v>132554.1485139296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114</v>
      </c>
      <c r="B1">
        <v>7142</v>
      </c>
      <c r="C1">
        <v>27818</v>
      </c>
      <c r="D1">
        <v>43572</v>
      </c>
      <c r="E1">
        <v>52877</v>
      </c>
      <c r="F1">
        <v>39845</v>
      </c>
      <c r="G1">
        <v>77945</v>
      </c>
      <c r="H1">
        <v>86536</v>
      </c>
      <c r="I1">
        <v>96726</v>
      </c>
      <c r="J1">
        <v>86333</v>
      </c>
      <c r="K1">
        <v>90629</v>
      </c>
    </row>
    <row r="2" spans="1:11" x14ac:dyDescent="0.2">
      <c r="A2">
        <v>0</v>
      </c>
      <c r="B2">
        <v>2.31117719636309E-3</v>
      </c>
      <c r="C2">
        <v>4.5704948361798836E-3</v>
      </c>
      <c r="D2">
        <v>1.6917956028876799E-3</v>
      </c>
      <c r="E2">
        <v>3.7291341352403422E-3</v>
      </c>
      <c r="F2">
        <v>7.6365578863113459E-4</v>
      </c>
      <c r="G2">
        <v>6.6325500049367325E-2</v>
      </c>
      <c r="H2">
        <v>0.18191612026707149</v>
      </c>
      <c r="I2">
        <v>1.6236735844317281E-2</v>
      </c>
      <c r="J2">
        <v>0.19740983783877961</v>
      </c>
      <c r="K2">
        <v>0.1245892575061399</v>
      </c>
    </row>
    <row r="3" spans="1:11" x14ac:dyDescent="0.2">
      <c r="A3">
        <v>1</v>
      </c>
      <c r="B3">
        <v>2.5582134205307532E-3</v>
      </c>
      <c r="C3">
        <v>5.0088258774452221E-3</v>
      </c>
      <c r="D3">
        <v>1.9027601341842231E-3</v>
      </c>
      <c r="E3">
        <v>4.0053934571446792E-3</v>
      </c>
      <c r="F3">
        <v>8.237466081241207E-4</v>
      </c>
      <c r="G3">
        <v>7.3527058637743115E-2</v>
      </c>
      <c r="H3">
        <v>0.20262333715984271</v>
      </c>
      <c r="I3">
        <v>1.7660689486206471E-2</v>
      </c>
      <c r="J3">
        <v>0.21795313843692821</v>
      </c>
      <c r="K3">
        <v>0.1408058149497198</v>
      </c>
    </row>
    <row r="4" spans="1:11" x14ac:dyDescent="0.2">
      <c r="A4">
        <v>2</v>
      </c>
      <c r="B4">
        <v>2.82134013638069E-3</v>
      </c>
      <c r="C4">
        <v>5.4027672783977243E-3</v>
      </c>
      <c r="D4">
        <v>2.1536252325830012E-3</v>
      </c>
      <c r="E4">
        <v>4.3939762225918546E-3</v>
      </c>
      <c r="F4">
        <v>9.0563408434585213E-4</v>
      </c>
      <c r="G4">
        <v>8.2140908450308747E-2</v>
      </c>
      <c r="H4">
        <v>0.2224170578522893</v>
      </c>
      <c r="I4">
        <v>1.8818889886625719E-2</v>
      </c>
      <c r="J4">
        <v>0.24350356645427321</v>
      </c>
      <c r="K4">
        <v>0.15629047322678591</v>
      </c>
    </row>
    <row r="5" spans="1:11" x14ac:dyDescent="0.2">
      <c r="A5">
        <v>3</v>
      </c>
      <c r="B5">
        <v>3.1262310663860982E-3</v>
      </c>
      <c r="C5">
        <v>5.9380733677482089E-3</v>
      </c>
      <c r="D5">
        <v>2.2316112786011639E-3</v>
      </c>
      <c r="E5">
        <v>4.7451835643321782E-3</v>
      </c>
      <c r="F5">
        <v>9.3583353021753357E-4</v>
      </c>
      <c r="G5">
        <v>9.356056473917751E-2</v>
      </c>
      <c r="H5">
        <v>0.24547535172074439</v>
      </c>
      <c r="I5">
        <v>2.0510453908129E-2</v>
      </c>
      <c r="J5">
        <v>0.26083767310555922</v>
      </c>
      <c r="K5">
        <v>0.17660050880471759</v>
      </c>
    </row>
    <row r="6" spans="1:11" x14ac:dyDescent="0.2">
      <c r="A6">
        <v>4</v>
      </c>
      <c r="B6">
        <v>3.3425562111933931E-3</v>
      </c>
      <c r="C6">
        <v>6.3396610219366156E-3</v>
      </c>
      <c r="D6">
        <v>2.4875065136631398E-3</v>
      </c>
      <c r="E6">
        <v>5.1977909334636196E-3</v>
      </c>
      <c r="F6">
        <v>9.9481248723343185E-4</v>
      </c>
      <c r="G6">
        <v>0.1052100594935486</v>
      </c>
      <c r="H6">
        <v>0.26780995724782608</v>
      </c>
      <c r="I6">
        <v>2.2573938095071241E-2</v>
      </c>
      <c r="J6">
        <v>0.28897203863750992</v>
      </c>
      <c r="K6">
        <v>0.19294151812366711</v>
      </c>
    </row>
    <row r="7" spans="1:11" x14ac:dyDescent="0.2">
      <c r="A7">
        <v>5</v>
      </c>
      <c r="B7">
        <v>3.594238516829495E-3</v>
      </c>
      <c r="C7">
        <v>6.6860110200862577E-3</v>
      </c>
      <c r="D7">
        <v>2.7477604239178892E-3</v>
      </c>
      <c r="E7">
        <v>5.5646768720696294E-3</v>
      </c>
      <c r="F7">
        <v>1.0601472258173761E-3</v>
      </c>
      <c r="G7">
        <v>0.11851360200650329</v>
      </c>
      <c r="H7">
        <v>0.29726827807297751</v>
      </c>
      <c r="I7">
        <v>2.4689759507530381E-2</v>
      </c>
      <c r="J7">
        <v>0.30621845963536892</v>
      </c>
      <c r="K7">
        <v>0.21423041648321001</v>
      </c>
    </row>
    <row r="8" spans="1:11" x14ac:dyDescent="0.2">
      <c r="A8">
        <v>6</v>
      </c>
      <c r="B8">
        <v>3.9657948409745902E-3</v>
      </c>
      <c r="C8">
        <v>7.3791222509567156E-3</v>
      </c>
      <c r="D8">
        <v>3.056090457220662E-3</v>
      </c>
      <c r="E8">
        <v>5.8482846405252253E-3</v>
      </c>
      <c r="F8">
        <v>1.153789975411379E-3</v>
      </c>
      <c r="G8">
        <v>0.13482358602457359</v>
      </c>
      <c r="H8">
        <v>0.31163338634508109</v>
      </c>
      <c r="I8">
        <v>2.7613165243617569E-2</v>
      </c>
      <c r="J8">
        <v>0.32452708560167259</v>
      </c>
      <c r="K8">
        <v>0.24080585284693909</v>
      </c>
    </row>
    <row r="9" spans="1:11" x14ac:dyDescent="0.2">
      <c r="A9">
        <v>7</v>
      </c>
      <c r="B9">
        <v>4.3537147817083177E-3</v>
      </c>
      <c r="C9">
        <v>7.8152635852112295E-3</v>
      </c>
      <c r="D9">
        <v>3.2598989860224141E-3</v>
      </c>
      <c r="E9">
        <v>6.3617127728388123E-3</v>
      </c>
      <c r="F9">
        <v>1.264991295766404E-3</v>
      </c>
      <c r="G9">
        <v>0.15046157608870489</v>
      </c>
      <c r="H9">
        <v>0.33846763210079678</v>
      </c>
      <c r="I9">
        <v>3.0309727697907188E-2</v>
      </c>
      <c r="J9">
        <v>0.35209045462774141</v>
      </c>
      <c r="K9">
        <v>0.25755160776375902</v>
      </c>
    </row>
    <row r="10" spans="1:11" x14ac:dyDescent="0.2">
      <c r="A10">
        <v>8</v>
      </c>
      <c r="B10">
        <v>4.7532883345945409E-3</v>
      </c>
      <c r="C10">
        <v>8.4989959812434845E-3</v>
      </c>
      <c r="D10">
        <v>3.506334509337572E-3</v>
      </c>
      <c r="E10">
        <v>6.8247118147227734E-3</v>
      </c>
      <c r="F10">
        <v>1.3702552197303319E-3</v>
      </c>
      <c r="G10">
        <v>0.17141003207283029</v>
      </c>
      <c r="H10">
        <v>0.3708598649869298</v>
      </c>
      <c r="I10">
        <v>3.3810362129839337E-2</v>
      </c>
      <c r="J10">
        <v>0.36445279553429999</v>
      </c>
      <c r="K10">
        <v>0.28698663544139119</v>
      </c>
    </row>
    <row r="11" spans="1:11" x14ac:dyDescent="0.2">
      <c r="A11">
        <v>9</v>
      </c>
      <c r="B11">
        <v>5.1251797601858939E-3</v>
      </c>
      <c r="C11">
        <v>9.0754938935455609E-3</v>
      </c>
      <c r="D11">
        <v>3.8740685829899979E-3</v>
      </c>
      <c r="E11">
        <v>7.3960708641852557E-3</v>
      </c>
      <c r="F11">
        <v>1.59518081156873E-3</v>
      </c>
      <c r="G11">
        <v>0.1874809503187487</v>
      </c>
      <c r="H11">
        <v>0.41144862642465491</v>
      </c>
      <c r="I11">
        <v>3.78707920681286E-2</v>
      </c>
      <c r="J11">
        <v>0.37728895854146233</v>
      </c>
      <c r="K11">
        <v>0.30403074838815142</v>
      </c>
    </row>
    <row r="12" spans="1:11" x14ac:dyDescent="0.2">
      <c r="A12">
        <v>10</v>
      </c>
      <c r="B12">
        <v>5.6809552042703659E-3</v>
      </c>
      <c r="C12">
        <v>9.9492008083009731E-3</v>
      </c>
      <c r="D12">
        <v>4.2639787507390281E-3</v>
      </c>
      <c r="E12">
        <v>8.0076362551245728E-3</v>
      </c>
      <c r="F12">
        <v>1.633611438448201E-3</v>
      </c>
      <c r="G12">
        <v>0.20965388319559611</v>
      </c>
      <c r="H12">
        <v>0.44755491440614509</v>
      </c>
      <c r="I12">
        <v>4.3140948657465761E-2</v>
      </c>
      <c r="J12">
        <v>0.42962181365359992</v>
      </c>
      <c r="K12">
        <v>0.32265931595221159</v>
      </c>
    </row>
    <row r="13" spans="1:11" x14ac:dyDescent="0.2">
      <c r="A13">
        <v>11</v>
      </c>
      <c r="B13">
        <v>6.03391628453398E-3</v>
      </c>
      <c r="C13">
        <v>1.060430224810094E-2</v>
      </c>
      <c r="D13">
        <v>4.6477932851088921E-3</v>
      </c>
      <c r="E13">
        <v>8.4580449453517392E-3</v>
      </c>
      <c r="F13">
        <v>1.900954100085728E-3</v>
      </c>
      <c r="G13">
        <v>0.2374688201014169</v>
      </c>
      <c r="H13">
        <v>0.48567285629079221</v>
      </c>
      <c r="I13">
        <v>4.7925902408460619E-2</v>
      </c>
      <c r="J13">
        <v>0.46056722796589888</v>
      </c>
      <c r="K13">
        <v>0.34946891987025691</v>
      </c>
    </row>
    <row r="14" spans="1:11" x14ac:dyDescent="0.2">
      <c r="A14">
        <v>12</v>
      </c>
      <c r="B14">
        <v>6.3082320024810956E-3</v>
      </c>
      <c r="C14">
        <v>1.152839748848822E-2</v>
      </c>
      <c r="D14">
        <v>5.0106121288684413E-3</v>
      </c>
      <c r="E14">
        <v>9.1142103608568004E-3</v>
      </c>
      <c r="F14">
        <v>2.033068184957854E-3</v>
      </c>
      <c r="G14">
        <v>0.25349173725786622</v>
      </c>
      <c r="H14">
        <v>0.52559924331336827</v>
      </c>
      <c r="I14">
        <v>5.4556574107539113E-2</v>
      </c>
      <c r="J14">
        <v>0.49290331757144779</v>
      </c>
      <c r="K14">
        <v>0.36215514327214721</v>
      </c>
    </row>
    <row r="15" spans="1:11" x14ac:dyDescent="0.2">
      <c r="A15">
        <v>13</v>
      </c>
      <c r="B15">
        <v>7.0023752566045214E-3</v>
      </c>
      <c r="C15">
        <v>1.2487437976264729E-2</v>
      </c>
      <c r="D15">
        <v>5.5741887819150682E-3</v>
      </c>
      <c r="E15">
        <v>9.7642653121073897E-3</v>
      </c>
      <c r="F15">
        <v>2.1718621873682009E-3</v>
      </c>
      <c r="G15">
        <v>0.28452000671613631</v>
      </c>
      <c r="H15">
        <v>0.56704222877483135</v>
      </c>
      <c r="I15">
        <v>6.0916056835665588E-2</v>
      </c>
      <c r="J15">
        <v>0.52650022868912916</v>
      </c>
      <c r="K15">
        <v>0.37199505173260072</v>
      </c>
    </row>
    <row r="16" spans="1:11" x14ac:dyDescent="0.2">
      <c r="A16">
        <v>14</v>
      </c>
      <c r="B16">
        <v>7.3716801065446544E-3</v>
      </c>
      <c r="C16">
        <v>1.367902790601461E-2</v>
      </c>
      <c r="D16">
        <v>5.9074253911937102E-3</v>
      </c>
      <c r="E16">
        <v>1.0629941494519009E-2</v>
      </c>
      <c r="F16">
        <v>2.4397764362510399E-3</v>
      </c>
      <c r="G16">
        <v>0.30131302546170252</v>
      </c>
      <c r="H16">
        <v>0.60961213328958963</v>
      </c>
      <c r="I16">
        <v>6.9029733731741705E-2</v>
      </c>
      <c r="J16">
        <v>0.56118277018491303</v>
      </c>
      <c r="K16">
        <v>0.42780695149719311</v>
      </c>
    </row>
    <row r="17" spans="1:11" x14ac:dyDescent="0.2">
      <c r="A17">
        <v>15</v>
      </c>
      <c r="B17">
        <v>8.0183542962812826E-3</v>
      </c>
      <c r="C17">
        <v>1.508258847595623E-2</v>
      </c>
      <c r="D17">
        <v>6.1529125348845906E-3</v>
      </c>
      <c r="E17">
        <v>1.1519782957796539E-2</v>
      </c>
      <c r="F17">
        <v>2.6065343953182159E-3</v>
      </c>
      <c r="G17">
        <v>0.32033590356452729</v>
      </c>
      <c r="H17">
        <v>0.65281645330936799</v>
      </c>
      <c r="I17">
        <v>8.0468823825507463E-2</v>
      </c>
      <c r="J17">
        <v>0.59672640396654297</v>
      </c>
      <c r="K17">
        <v>0.45916277544309569</v>
      </c>
    </row>
    <row r="18" spans="1:11" x14ac:dyDescent="0.2">
      <c r="A18">
        <v>16</v>
      </c>
      <c r="B18">
        <v>8.492457271662035E-3</v>
      </c>
      <c r="C18">
        <v>1.6728577583462131E-2</v>
      </c>
      <c r="D18">
        <v>6.8468384738686883E-3</v>
      </c>
      <c r="E18">
        <v>1.2501380907961931E-2</v>
      </c>
      <c r="F18">
        <v>2.7583093015084441E-3</v>
      </c>
      <c r="G18">
        <v>0.34621159517227812</v>
      </c>
      <c r="H18">
        <v>0.69606140109419634</v>
      </c>
      <c r="I18">
        <v>9.1652884296817616E-2</v>
      </c>
      <c r="J18">
        <v>0.6328546784248561</v>
      </c>
      <c r="K18">
        <v>0.4919503100320185</v>
      </c>
    </row>
    <row r="19" spans="1:11" x14ac:dyDescent="0.2">
      <c r="A19">
        <v>17</v>
      </c>
      <c r="B19">
        <v>9.3296258599859794E-3</v>
      </c>
      <c r="C19">
        <v>1.875738168945407E-2</v>
      </c>
      <c r="D19">
        <v>7.1893371794229388E-3</v>
      </c>
      <c r="E19">
        <v>1.3173323765252039E-2</v>
      </c>
      <c r="F19">
        <v>2.9484447244292329E-3</v>
      </c>
      <c r="G19">
        <v>0.35929726286925329</v>
      </c>
      <c r="H19">
        <v>0.73866253571009732</v>
      </c>
      <c r="I19">
        <v>0.1050413723938738</v>
      </c>
      <c r="J19">
        <v>0.66923880767417243</v>
      </c>
      <c r="K19">
        <v>0.52603441361896353</v>
      </c>
    </row>
    <row r="20" spans="1:11" x14ac:dyDescent="0.2">
      <c r="A20">
        <v>18</v>
      </c>
      <c r="B20">
        <v>9.9024500469601096E-3</v>
      </c>
      <c r="C20">
        <v>2.04784564035696E-2</v>
      </c>
      <c r="D20">
        <v>7.8207443733856463E-3</v>
      </c>
      <c r="E20">
        <v>1.440866262191653E-2</v>
      </c>
      <c r="F20">
        <v>3.2287252458736981E-3</v>
      </c>
      <c r="G20">
        <v>0.36544915233403408</v>
      </c>
      <c r="H20">
        <v>1</v>
      </c>
      <c r="I20">
        <v>0.1214094463874317</v>
      </c>
      <c r="J20">
        <v>0.70550018080386978</v>
      </c>
      <c r="K20">
        <v>0.56123213900334457</v>
      </c>
    </row>
    <row r="21" spans="1:11" x14ac:dyDescent="0.2">
      <c r="A21">
        <v>19</v>
      </c>
      <c r="B21">
        <v>1.0730228482312089E-2</v>
      </c>
      <c r="C21">
        <v>2.2706610353146809E-2</v>
      </c>
      <c r="D21">
        <v>8.2541461172185304E-3</v>
      </c>
      <c r="E21">
        <v>1.598298820223976E-2</v>
      </c>
      <c r="F21">
        <v>3.4632589800233089E-3</v>
      </c>
      <c r="G21">
        <v>0.42554476500648247</v>
      </c>
      <c r="H21">
        <v>1</v>
      </c>
      <c r="I21">
        <v>0.1372712284331519</v>
      </c>
      <c r="J21">
        <v>1</v>
      </c>
      <c r="K21">
        <v>0.59730849048912904</v>
      </c>
    </row>
    <row r="22" spans="1:11" x14ac:dyDescent="0.2">
      <c r="A22">
        <v>20</v>
      </c>
      <c r="B22">
        <v>1.161853938906798E-2</v>
      </c>
      <c r="C22">
        <v>2.560673040186523E-2</v>
      </c>
      <c r="D22">
        <v>9.0759937337632213E-3</v>
      </c>
      <c r="E22">
        <v>1.7571610199764279E-2</v>
      </c>
      <c r="F22">
        <v>3.8413889583099881E-3</v>
      </c>
      <c r="G22">
        <v>0.45741042151563122</v>
      </c>
      <c r="H22">
        <v>1</v>
      </c>
      <c r="I22">
        <v>0.1595056716166782</v>
      </c>
      <c r="J22">
        <v>1</v>
      </c>
      <c r="K22">
        <v>0.63397375839565828</v>
      </c>
    </row>
    <row r="23" spans="1:11" x14ac:dyDescent="0.2">
      <c r="A23">
        <v>21</v>
      </c>
      <c r="B23">
        <v>1.270038915961169E-2</v>
      </c>
      <c r="C23">
        <v>2.9731885528820109E-2</v>
      </c>
      <c r="D23">
        <v>9.6159904103726435E-3</v>
      </c>
      <c r="E23">
        <v>1.990380993623864E-2</v>
      </c>
      <c r="F23">
        <v>4.0391377009529883E-3</v>
      </c>
      <c r="G23">
        <v>0.49076024845684391</v>
      </c>
      <c r="H23">
        <v>1</v>
      </c>
      <c r="I23">
        <v>0.17492829825611919</v>
      </c>
      <c r="J23">
        <v>1</v>
      </c>
      <c r="K23">
        <v>0.67088320073287711</v>
      </c>
    </row>
    <row r="24" spans="1:11" x14ac:dyDescent="0.2">
      <c r="A24">
        <v>22</v>
      </c>
      <c r="B24">
        <v>1.399995677567056E-2</v>
      </c>
      <c r="C24">
        <v>3.2947161121372297E-2</v>
      </c>
      <c r="D24">
        <v>1.040521177474329E-2</v>
      </c>
      <c r="E24">
        <v>2.1988627088348919E-2</v>
      </c>
      <c r="F24">
        <v>4.1815384574654946E-3</v>
      </c>
      <c r="G24">
        <v>0.52545236325407774</v>
      </c>
      <c r="H24">
        <v>1</v>
      </c>
      <c r="I24">
        <v>0.1990133106503941</v>
      </c>
      <c r="J24">
        <v>1</v>
      </c>
      <c r="K24">
        <v>0.70763992865945746</v>
      </c>
    </row>
    <row r="25" spans="1:11" x14ac:dyDescent="0.2">
      <c r="A25">
        <v>23</v>
      </c>
      <c r="B25">
        <v>1.551561342301366E-2</v>
      </c>
      <c r="C25">
        <v>3.8133844803728278E-2</v>
      </c>
      <c r="D25">
        <v>1.1264807391808461E-2</v>
      </c>
      <c r="E25">
        <v>2.4787755189090929E-2</v>
      </c>
      <c r="F25">
        <v>4.5374397551665169E-3</v>
      </c>
      <c r="G25">
        <v>0.56129385169728319</v>
      </c>
      <c r="H25">
        <v>1</v>
      </c>
      <c r="I25">
        <v>0.22961783801073571</v>
      </c>
      <c r="J25">
        <v>1</v>
      </c>
      <c r="K25">
        <v>1</v>
      </c>
    </row>
    <row r="26" spans="1:11" x14ac:dyDescent="0.2">
      <c r="A26">
        <v>24</v>
      </c>
      <c r="B26">
        <v>1.7436112841852761E-2</v>
      </c>
      <c r="C26">
        <v>4.3503094681196057E-2</v>
      </c>
      <c r="D26">
        <v>1.230257047074068E-2</v>
      </c>
      <c r="E26">
        <v>2.8161595842000949E-2</v>
      </c>
      <c r="F26">
        <v>4.8096883054464801E-3</v>
      </c>
      <c r="G26">
        <v>0.59803621611923874</v>
      </c>
      <c r="H26">
        <v>1</v>
      </c>
      <c r="I26">
        <v>0.2439627076571198</v>
      </c>
      <c r="J26">
        <v>1</v>
      </c>
      <c r="K26">
        <v>1</v>
      </c>
    </row>
    <row r="27" spans="1:11" x14ac:dyDescent="0.2">
      <c r="A27">
        <v>25</v>
      </c>
      <c r="B27">
        <v>1.8949793434179019E-2</v>
      </c>
      <c r="C27">
        <v>4.8539872432456173E-2</v>
      </c>
      <c r="D27">
        <v>1.355992942550144E-2</v>
      </c>
      <c r="E27">
        <v>3.2727046425778838E-2</v>
      </c>
      <c r="F27">
        <v>5.2172167831895377E-3</v>
      </c>
      <c r="G27">
        <v>0.63537258295828503</v>
      </c>
      <c r="H27">
        <v>1</v>
      </c>
      <c r="I27">
        <v>0.27866850756372902</v>
      </c>
      <c r="J27">
        <v>1</v>
      </c>
      <c r="K27">
        <v>1</v>
      </c>
    </row>
    <row r="28" spans="1:11" x14ac:dyDescent="0.2">
      <c r="A28">
        <v>26</v>
      </c>
      <c r="B28">
        <v>2.100035068717376E-2</v>
      </c>
      <c r="C28">
        <v>5.820597430747021E-2</v>
      </c>
      <c r="D28">
        <v>1.5022869002977E-2</v>
      </c>
      <c r="E28">
        <v>3.6651596676075648E-2</v>
      </c>
      <c r="F28">
        <v>5.6340229010173326E-3</v>
      </c>
      <c r="G28">
        <v>0.67293753078976559</v>
      </c>
      <c r="H28">
        <v>1</v>
      </c>
      <c r="I28">
        <v>0.29486708287301261</v>
      </c>
      <c r="J28">
        <v>1</v>
      </c>
      <c r="K28">
        <v>1</v>
      </c>
    </row>
    <row r="29" spans="1:11" x14ac:dyDescent="0.2">
      <c r="A29">
        <v>27</v>
      </c>
      <c r="B29">
        <v>2.3728546173108381E-2</v>
      </c>
      <c r="C29">
        <v>6.8243956054064969E-2</v>
      </c>
      <c r="D29">
        <v>1.689848956807705E-2</v>
      </c>
      <c r="E29">
        <v>4.2670814380983753E-2</v>
      </c>
      <c r="F29">
        <v>5.8778352406488876E-3</v>
      </c>
      <c r="G29">
        <v>0.71031049388393686</v>
      </c>
      <c r="H29">
        <v>1</v>
      </c>
      <c r="I29">
        <v>0.31481094949401028</v>
      </c>
      <c r="J29">
        <v>1</v>
      </c>
      <c r="K29">
        <v>1</v>
      </c>
    </row>
    <row r="30" spans="1:11" x14ac:dyDescent="0.2">
      <c r="A30">
        <v>28</v>
      </c>
      <c r="B30">
        <v>2.766887992039058E-2</v>
      </c>
      <c r="C30">
        <v>7.7912170364520472E-2</v>
      </c>
      <c r="D30">
        <v>1.832976338754988E-2</v>
      </c>
      <c r="E30">
        <v>4.8070962266939847E-2</v>
      </c>
      <c r="F30">
        <v>6.3220925826150687E-3</v>
      </c>
      <c r="G30">
        <v>1</v>
      </c>
      <c r="H30">
        <v>1</v>
      </c>
      <c r="I30">
        <v>0.33848308266854432</v>
      </c>
      <c r="J30">
        <v>1</v>
      </c>
      <c r="K30">
        <v>1</v>
      </c>
    </row>
    <row r="31" spans="1:11" x14ac:dyDescent="0.2">
      <c r="A31">
        <v>29</v>
      </c>
      <c r="B31">
        <v>3.0580811154770401E-2</v>
      </c>
      <c r="C31">
        <v>9.0397429620975411E-2</v>
      </c>
      <c r="D31">
        <v>2.03085100381033E-2</v>
      </c>
      <c r="E31">
        <v>5.5455207112161009E-2</v>
      </c>
      <c r="F31">
        <v>6.7457220757214387E-3</v>
      </c>
      <c r="G31">
        <v>1</v>
      </c>
      <c r="H31">
        <v>1</v>
      </c>
      <c r="I31">
        <v>0.35250287987387657</v>
      </c>
      <c r="J31">
        <v>1</v>
      </c>
      <c r="K31">
        <v>1</v>
      </c>
    </row>
    <row r="32" spans="1:11" x14ac:dyDescent="0.2">
      <c r="A32">
        <v>30</v>
      </c>
      <c r="B32">
        <v>3.553819511746048E-2</v>
      </c>
      <c r="C32">
        <v>0.1047727276412219</v>
      </c>
      <c r="D32">
        <v>2.296588254463339E-2</v>
      </c>
      <c r="E32">
        <v>6.6555279553713653E-2</v>
      </c>
      <c r="F32">
        <v>7.346067931512601E-3</v>
      </c>
      <c r="G32">
        <v>1</v>
      </c>
      <c r="H32">
        <v>1</v>
      </c>
      <c r="I32">
        <v>0.35006607974277232</v>
      </c>
      <c r="J32">
        <v>1</v>
      </c>
      <c r="K32">
        <v>1</v>
      </c>
    </row>
    <row r="33" spans="1:11" x14ac:dyDescent="0.2">
      <c r="A33">
        <v>31</v>
      </c>
      <c r="B33">
        <v>4.0652811799409272E-2</v>
      </c>
      <c r="C33">
        <v>0.1241402135236188</v>
      </c>
      <c r="D33">
        <v>2.682853398217977E-2</v>
      </c>
      <c r="E33">
        <v>7.7030517821861655E-2</v>
      </c>
      <c r="F33">
        <v>7.9821893853178061E-3</v>
      </c>
      <c r="G33">
        <v>1</v>
      </c>
      <c r="H33">
        <v>1</v>
      </c>
      <c r="I33">
        <v>0.42014472232607469</v>
      </c>
      <c r="J33">
        <v>1</v>
      </c>
      <c r="K33">
        <v>1</v>
      </c>
    </row>
    <row r="34" spans="1:11" x14ac:dyDescent="0.2">
      <c r="A34">
        <v>32</v>
      </c>
      <c r="B34">
        <v>4.5300405049650383E-2</v>
      </c>
      <c r="C34">
        <v>0.14153969178744319</v>
      </c>
      <c r="D34">
        <v>2.961861032923219E-2</v>
      </c>
      <c r="E34">
        <v>9.0223502402368427E-2</v>
      </c>
      <c r="F34">
        <v>8.6405342089457271E-3</v>
      </c>
      <c r="G34">
        <v>1</v>
      </c>
      <c r="H34">
        <v>1</v>
      </c>
      <c r="I34">
        <v>0.45321946029222687</v>
      </c>
      <c r="J34">
        <v>1</v>
      </c>
      <c r="K34">
        <v>1</v>
      </c>
    </row>
    <row r="35" spans="1:11" x14ac:dyDescent="0.2">
      <c r="A35">
        <v>33</v>
      </c>
      <c r="B35">
        <v>5.4842634452387018E-2</v>
      </c>
      <c r="C35">
        <v>0.16080672498478241</v>
      </c>
      <c r="D35">
        <v>3.4479592482900889E-2</v>
      </c>
      <c r="E35">
        <v>0.1063866992427457</v>
      </c>
      <c r="F35">
        <v>8.9962254113676865E-3</v>
      </c>
      <c r="G35">
        <v>1</v>
      </c>
      <c r="H35">
        <v>1</v>
      </c>
      <c r="I35">
        <v>0.48790957727683881</v>
      </c>
      <c r="J35">
        <v>1</v>
      </c>
      <c r="K35">
        <v>1</v>
      </c>
    </row>
    <row r="36" spans="1:11" x14ac:dyDescent="0.2">
      <c r="A36">
        <v>34</v>
      </c>
      <c r="B36">
        <v>6.4650516382518286E-2</v>
      </c>
      <c r="C36">
        <v>0.18361841526718009</v>
      </c>
      <c r="D36">
        <v>3.9487960399358757E-2</v>
      </c>
      <c r="E36">
        <v>0.1222791788681428</v>
      </c>
      <c r="F36">
        <v>9.8766259729264894E-3</v>
      </c>
      <c r="G36">
        <v>1</v>
      </c>
      <c r="H36">
        <v>1</v>
      </c>
      <c r="I36">
        <v>0.52405643891303888</v>
      </c>
      <c r="J36">
        <v>1</v>
      </c>
      <c r="K36">
        <v>1</v>
      </c>
    </row>
    <row r="37" spans="1:11" x14ac:dyDescent="0.2">
      <c r="A37">
        <v>35</v>
      </c>
      <c r="B37">
        <v>7.3949178124856574E-2</v>
      </c>
      <c r="C37">
        <v>0.20201982275819791</v>
      </c>
      <c r="D37">
        <v>4.3977549647554959E-2</v>
      </c>
      <c r="E37">
        <v>0.14567719409480051</v>
      </c>
      <c r="F37">
        <v>1.104700316235852E-2</v>
      </c>
      <c r="G37">
        <v>1</v>
      </c>
      <c r="H37">
        <v>1</v>
      </c>
      <c r="I37">
        <v>0.56144196972935001</v>
      </c>
      <c r="J37">
        <v>1</v>
      </c>
      <c r="K37">
        <v>1</v>
      </c>
    </row>
    <row r="38" spans="1:11" x14ac:dyDescent="0.2">
      <c r="A38">
        <v>36</v>
      </c>
      <c r="B38">
        <v>8.6275315366716288E-2</v>
      </c>
      <c r="C38">
        <v>0.2271569112057461</v>
      </c>
      <c r="D38">
        <v>5.3459645911015707E-2</v>
      </c>
      <c r="E38">
        <v>0.16029393207044609</v>
      </c>
      <c r="F38">
        <v>1.221123367735932E-2</v>
      </c>
      <c r="G38">
        <v>1</v>
      </c>
      <c r="H38">
        <v>1</v>
      </c>
      <c r="I38">
        <v>0.59978327537299192</v>
      </c>
      <c r="J38">
        <v>1</v>
      </c>
      <c r="K38">
        <v>1</v>
      </c>
    </row>
    <row r="39" spans="1:11" x14ac:dyDescent="0.2">
      <c r="A39">
        <v>37</v>
      </c>
      <c r="B39">
        <v>0.10046419247640161</v>
      </c>
      <c r="C39">
        <v>0.24910941293210559</v>
      </c>
      <c r="D39">
        <v>6.3166985173576107E-2</v>
      </c>
      <c r="E39">
        <v>0.18637692066997499</v>
      </c>
      <c r="F39">
        <v>1.4020120308489431E-2</v>
      </c>
      <c r="G39">
        <v>1</v>
      </c>
      <c r="H39">
        <v>1</v>
      </c>
      <c r="I39">
        <v>0.63872953025865931</v>
      </c>
      <c r="J39">
        <v>1</v>
      </c>
      <c r="K39">
        <v>1</v>
      </c>
    </row>
    <row r="40" spans="1:11" x14ac:dyDescent="0.2">
      <c r="A40">
        <v>38</v>
      </c>
      <c r="B40">
        <v>0.12002858895354</v>
      </c>
      <c r="C40">
        <v>0.28827851427717749</v>
      </c>
      <c r="D40">
        <v>7.2310600424884242E-2</v>
      </c>
      <c r="E40">
        <v>0.22011355919879391</v>
      </c>
      <c r="F40">
        <v>1.559416795590751E-2</v>
      </c>
      <c r="G40">
        <v>1</v>
      </c>
      <c r="H40">
        <v>1</v>
      </c>
      <c r="I40">
        <v>0.67786224996499245</v>
      </c>
      <c r="J40">
        <v>1</v>
      </c>
      <c r="K40">
        <v>1</v>
      </c>
    </row>
    <row r="41" spans="1:11" x14ac:dyDescent="0.2">
      <c r="A41">
        <v>39</v>
      </c>
      <c r="B41">
        <v>0.13730161285083681</v>
      </c>
      <c r="C41">
        <v>0.29365474025400923</v>
      </c>
      <c r="D41">
        <v>8.4564011912100279E-2</v>
      </c>
      <c r="E41">
        <v>0.23247222777612661</v>
      </c>
      <c r="F41">
        <v>1.777644106731913E-2</v>
      </c>
      <c r="G41">
        <v>1</v>
      </c>
      <c r="H41">
        <v>1</v>
      </c>
      <c r="I41">
        <v>0.71670017968738875</v>
      </c>
      <c r="J41">
        <v>1</v>
      </c>
      <c r="K41">
        <v>1</v>
      </c>
    </row>
    <row r="42" spans="1:11" x14ac:dyDescent="0.2">
      <c r="A42">
        <v>40</v>
      </c>
      <c r="B42">
        <v>0.15662235537144359</v>
      </c>
      <c r="C42">
        <v>0.33459914155995513</v>
      </c>
      <c r="D42">
        <v>9.8669288438859026E-2</v>
      </c>
      <c r="E42">
        <v>0.27148941165627072</v>
      </c>
      <c r="F42">
        <v>2.0503051765586758E-2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2">
      <c r="A43">
        <v>41</v>
      </c>
      <c r="B43">
        <v>0.1797950197018883</v>
      </c>
      <c r="C43">
        <v>0.3667304077288589</v>
      </c>
      <c r="D43">
        <v>0.1183055309016903</v>
      </c>
      <c r="E43">
        <v>0.28696134699643738</v>
      </c>
      <c r="F43">
        <v>2.4338843480294251E-2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2">
      <c r="A44">
        <v>42</v>
      </c>
      <c r="B44">
        <v>0.1979074847138225</v>
      </c>
      <c r="C44">
        <v>0.41237046684570622</v>
      </c>
      <c r="D44">
        <v>0.1355212115948338</v>
      </c>
      <c r="E44">
        <v>0.30800646419079247</v>
      </c>
      <c r="F44">
        <v>2.7490791656434421E-2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2">
      <c r="A45">
        <v>43</v>
      </c>
      <c r="B45">
        <v>0.22342309703118021</v>
      </c>
      <c r="C45">
        <v>0.45361610972948918</v>
      </c>
      <c r="D45">
        <v>0.15485938102818039</v>
      </c>
      <c r="E45">
        <v>0.32899984427183049</v>
      </c>
      <c r="F45">
        <v>3.278292436483643E-2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2">
      <c r="A46">
        <v>44</v>
      </c>
      <c r="B46">
        <v>0.24528400399630759</v>
      </c>
      <c r="C46">
        <v>0.49732651455767413</v>
      </c>
      <c r="D46">
        <v>0.17817813786329911</v>
      </c>
      <c r="E46">
        <v>0.34413860430551002</v>
      </c>
      <c r="F46">
        <v>3.7281171100449817E-2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 x14ac:dyDescent="0.2">
      <c r="A47">
        <v>45</v>
      </c>
      <c r="B47">
        <v>0.28639928366094608</v>
      </c>
      <c r="C47">
        <v>0.54316448268183681</v>
      </c>
      <c r="D47">
        <v>0.19616750962914609</v>
      </c>
      <c r="E47">
        <v>0.33149342884586402</v>
      </c>
      <c r="F47">
        <v>4.3835341150693763E-2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2">
      <c r="A48">
        <v>46</v>
      </c>
      <c r="B48">
        <v>0.28994668280716052</v>
      </c>
      <c r="C48">
        <v>0.59064748264947364</v>
      </c>
      <c r="D48">
        <v>0.22183892528867349</v>
      </c>
      <c r="E48">
        <v>0.41345331939522112</v>
      </c>
      <c r="F48">
        <v>5.4276901003545867E-2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2">
      <c r="A49">
        <v>47</v>
      </c>
      <c r="B49">
        <v>0.33378272222281652</v>
      </c>
      <c r="C49">
        <v>0.63913602794767721</v>
      </c>
      <c r="D49">
        <v>0.24365952263388149</v>
      </c>
      <c r="E49">
        <v>0.44801029745163529</v>
      </c>
      <c r="F49">
        <v>6.3904540993835246E-2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 x14ac:dyDescent="0.2">
      <c r="A50">
        <v>48</v>
      </c>
      <c r="B50">
        <v>0.36598300633291703</v>
      </c>
      <c r="C50">
        <v>0.68677806154579457</v>
      </c>
      <c r="D50">
        <v>0.28586413677775457</v>
      </c>
      <c r="E50">
        <v>0.48459368661149088</v>
      </c>
      <c r="F50">
        <v>7.7404830434288918E-2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2">
      <c r="A51">
        <v>49</v>
      </c>
      <c r="B51">
        <v>0.41251025098303451</v>
      </c>
      <c r="C51">
        <v>0.73342538696674442</v>
      </c>
      <c r="D51">
        <v>0.28941996769273098</v>
      </c>
      <c r="E51">
        <v>0.52254578902475002</v>
      </c>
      <c r="F51">
        <v>9.3956456062839866E-2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 x14ac:dyDescent="0.2">
      <c r="A52">
        <v>50</v>
      </c>
      <c r="B52">
        <v>0.45435383044994798</v>
      </c>
      <c r="C52">
        <v>0.77815136689304998</v>
      </c>
      <c r="D52">
        <v>0.33378272222281652</v>
      </c>
      <c r="E52">
        <v>0.5615900984277965</v>
      </c>
      <c r="F52">
        <v>0.1105307268229567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 x14ac:dyDescent="0.2">
      <c r="A53">
        <v>51</v>
      </c>
      <c r="B53">
        <v>0.49839220197031581</v>
      </c>
      <c r="C53">
        <v>1</v>
      </c>
      <c r="D53">
        <v>0.36598300633291703</v>
      </c>
      <c r="E53">
        <v>0.60138536385043473</v>
      </c>
      <c r="F53">
        <v>0.13541149010690229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x14ac:dyDescent="0.2">
      <c r="A54">
        <v>52</v>
      </c>
      <c r="B54">
        <v>0.54423542338661868</v>
      </c>
      <c r="C54">
        <v>1</v>
      </c>
      <c r="D54">
        <v>0.41251025098303451</v>
      </c>
      <c r="E54">
        <v>0.64152657407007496</v>
      </c>
      <c r="F54">
        <v>0.15027324152944749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 x14ac:dyDescent="0.2">
      <c r="A55">
        <v>53</v>
      </c>
      <c r="B55">
        <v>0.59136578894137815</v>
      </c>
      <c r="C55">
        <v>1</v>
      </c>
      <c r="D55">
        <v>0.45435383044994798</v>
      </c>
      <c r="E55">
        <v>0.6815500623327384</v>
      </c>
      <c r="F55">
        <v>0.1783502983166553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 x14ac:dyDescent="0.2">
      <c r="A56">
        <v>54</v>
      </c>
      <c r="B56">
        <v>0.63913602794767721</v>
      </c>
      <c r="C56">
        <v>1</v>
      </c>
      <c r="D56">
        <v>0.49839220197031581</v>
      </c>
      <c r="E56">
        <v>0.72094361003515095</v>
      </c>
      <c r="F56">
        <v>0.21457349696296479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">
      <c r="A57">
        <v>55</v>
      </c>
      <c r="B57">
        <v>0.68677806154579457</v>
      </c>
      <c r="C57">
        <v>1</v>
      </c>
      <c r="D57">
        <v>0.54423542338661868</v>
      </c>
      <c r="E57">
        <v>1</v>
      </c>
      <c r="F57">
        <v>0.22653227989071731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2">
      <c r="A58">
        <v>56</v>
      </c>
      <c r="B58">
        <v>0.73342538696674442</v>
      </c>
      <c r="C58">
        <v>1</v>
      </c>
      <c r="D58">
        <v>0.59136578894137815</v>
      </c>
      <c r="E58">
        <v>1</v>
      </c>
      <c r="F58">
        <v>0.26819036554201492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2">
      <c r="A59">
        <v>57</v>
      </c>
      <c r="B59">
        <v>0.77815136689304998</v>
      </c>
      <c r="C59">
        <v>1</v>
      </c>
      <c r="D59">
        <v>0.63913602794767721</v>
      </c>
      <c r="E59">
        <v>1</v>
      </c>
      <c r="F59">
        <v>0.28384610172357411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 x14ac:dyDescent="0.2">
      <c r="A60">
        <v>58</v>
      </c>
      <c r="B60">
        <v>1</v>
      </c>
      <c r="C60">
        <v>1</v>
      </c>
      <c r="D60">
        <v>0.68677806154579457</v>
      </c>
      <c r="E60">
        <v>1</v>
      </c>
      <c r="F60">
        <v>0.30576340229440618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 x14ac:dyDescent="0.2">
      <c r="A61">
        <v>59</v>
      </c>
      <c r="B61">
        <v>1</v>
      </c>
      <c r="C61">
        <v>1</v>
      </c>
      <c r="D61">
        <v>0.73342538696674442</v>
      </c>
      <c r="E61">
        <v>1</v>
      </c>
      <c r="F61">
        <v>0.32650434922538107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 x14ac:dyDescent="0.2">
      <c r="A62">
        <v>60</v>
      </c>
      <c r="B62">
        <v>1</v>
      </c>
      <c r="C62">
        <v>1</v>
      </c>
      <c r="D62">
        <v>0.77815136689304998</v>
      </c>
      <c r="E62">
        <v>1</v>
      </c>
      <c r="F62">
        <v>0.3424829731584963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2">
      <c r="A63">
        <v>61</v>
      </c>
      <c r="B63">
        <v>1</v>
      </c>
      <c r="C63">
        <v>1</v>
      </c>
      <c r="D63">
        <v>1</v>
      </c>
      <c r="E63">
        <v>1</v>
      </c>
      <c r="F63">
        <v>0.32907252435149609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 x14ac:dyDescent="0.2">
      <c r="A64">
        <v>62</v>
      </c>
      <c r="B64">
        <v>1</v>
      </c>
      <c r="C64">
        <v>1</v>
      </c>
      <c r="D64">
        <v>1</v>
      </c>
      <c r="E64">
        <v>1</v>
      </c>
      <c r="F64">
        <v>0.41300956514325599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 x14ac:dyDescent="0.2">
      <c r="A65">
        <v>63</v>
      </c>
      <c r="B65">
        <v>1</v>
      </c>
      <c r="C65">
        <v>1</v>
      </c>
      <c r="D65">
        <v>1</v>
      </c>
      <c r="E65">
        <v>1</v>
      </c>
      <c r="F65">
        <v>0.44801029745163529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2">
      <c r="A66">
        <v>64</v>
      </c>
      <c r="B66">
        <v>1</v>
      </c>
      <c r="C66">
        <v>1</v>
      </c>
      <c r="D66">
        <v>1</v>
      </c>
      <c r="E66">
        <v>1</v>
      </c>
      <c r="F66">
        <v>0.48459368661149088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 x14ac:dyDescent="0.2">
      <c r="A67">
        <v>65</v>
      </c>
      <c r="B67">
        <v>1</v>
      </c>
      <c r="C67">
        <v>1</v>
      </c>
      <c r="D67">
        <v>1</v>
      </c>
      <c r="E67">
        <v>1</v>
      </c>
      <c r="F67">
        <v>0.52254578902475002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2">
      <c r="A68">
        <v>66</v>
      </c>
      <c r="B68">
        <v>1</v>
      </c>
      <c r="C68">
        <v>1</v>
      </c>
      <c r="D68">
        <v>1</v>
      </c>
      <c r="E68">
        <v>1</v>
      </c>
      <c r="F68">
        <v>0.5615900984277965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2">
      <c r="A69">
        <v>67</v>
      </c>
      <c r="B69">
        <v>1</v>
      </c>
      <c r="C69">
        <v>1</v>
      </c>
      <c r="D69">
        <v>1</v>
      </c>
      <c r="E69">
        <v>1</v>
      </c>
      <c r="F69">
        <v>0.60138536385043473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 x14ac:dyDescent="0.2">
      <c r="A70">
        <v>68</v>
      </c>
      <c r="B70">
        <v>1</v>
      </c>
      <c r="C70">
        <v>1</v>
      </c>
      <c r="D70">
        <v>1</v>
      </c>
      <c r="E70">
        <v>1</v>
      </c>
      <c r="F70">
        <v>0.64152657407007496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 x14ac:dyDescent="0.2">
      <c r="A71">
        <v>69</v>
      </c>
      <c r="B71">
        <v>1</v>
      </c>
      <c r="C71">
        <v>1</v>
      </c>
      <c r="D71">
        <v>1</v>
      </c>
      <c r="E71">
        <v>1</v>
      </c>
      <c r="F71">
        <v>0.6815500623327384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 x14ac:dyDescent="0.2">
      <c r="A72">
        <v>70</v>
      </c>
      <c r="B72">
        <v>1</v>
      </c>
      <c r="C72">
        <v>1</v>
      </c>
      <c r="D72">
        <v>1</v>
      </c>
      <c r="E72">
        <v>1</v>
      </c>
      <c r="F72">
        <v>0.72094361003515095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2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2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 x14ac:dyDescent="0.2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 x14ac:dyDescent="0.2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 x14ac:dyDescent="0.2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 x14ac:dyDescent="0.2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 x14ac:dyDescent="0.2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 x14ac:dyDescent="0.2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 x14ac:dyDescent="0.2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 x14ac:dyDescent="0.2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114</v>
      </c>
      <c r="B1" t="s">
        <v>115</v>
      </c>
    </row>
    <row r="2" spans="1:2" x14ac:dyDescent="0.2">
      <c r="A2">
        <v>0</v>
      </c>
      <c r="B2">
        <v>1</v>
      </c>
    </row>
    <row r="3" spans="1:2" x14ac:dyDescent="0.2">
      <c r="A3">
        <v>1</v>
      </c>
      <c r="B3">
        <v>0.96832605474915512</v>
      </c>
    </row>
    <row r="4" spans="1:2" x14ac:dyDescent="0.2">
      <c r="A4">
        <v>2</v>
      </c>
      <c r="B4">
        <v>0.93461204402328812</v>
      </c>
    </row>
    <row r="5" spans="1:2" x14ac:dyDescent="0.2">
      <c r="A5">
        <v>3</v>
      </c>
      <c r="B5">
        <v>0.9027274585582018</v>
      </c>
    </row>
    <row r="6" spans="1:2" x14ac:dyDescent="0.2">
      <c r="A6">
        <v>4</v>
      </c>
      <c r="B6">
        <v>0.87204871204462464</v>
      </c>
    </row>
    <row r="7" spans="1:2" x14ac:dyDescent="0.2">
      <c r="A7">
        <v>5</v>
      </c>
      <c r="B7">
        <v>0.8424614370650958</v>
      </c>
    </row>
    <row r="8" spans="1:2" x14ac:dyDescent="0.2">
      <c r="A8">
        <v>6</v>
      </c>
      <c r="B8">
        <v>0.8136421370346637</v>
      </c>
    </row>
    <row r="9" spans="1:2" x14ac:dyDescent="0.2">
      <c r="A9">
        <v>7</v>
      </c>
      <c r="B9">
        <v>0.78535335071405377</v>
      </c>
    </row>
    <row r="10" spans="1:2" x14ac:dyDescent="0.2">
      <c r="A10">
        <v>8</v>
      </c>
      <c r="B10">
        <v>0.7575358155947316</v>
      </c>
    </row>
    <row r="11" spans="1:2" x14ac:dyDescent="0.2">
      <c r="A11">
        <v>9</v>
      </c>
      <c r="B11">
        <v>0.73035807127294106</v>
      </c>
    </row>
    <row r="12" spans="1:2" x14ac:dyDescent="0.2">
      <c r="A12">
        <v>10</v>
      </c>
      <c r="B12">
        <v>0.70366624807147327</v>
      </c>
    </row>
    <row r="13" spans="1:2" x14ac:dyDescent="0.2">
      <c r="A13">
        <v>11</v>
      </c>
      <c r="B13">
        <v>0.67792403182205596</v>
      </c>
    </row>
    <row r="14" spans="1:2" x14ac:dyDescent="0.2">
      <c r="A14">
        <v>12</v>
      </c>
      <c r="B14">
        <v>0.65294729516726513</v>
      </c>
    </row>
    <row r="15" spans="1:2" x14ac:dyDescent="0.2">
      <c r="A15">
        <v>13</v>
      </c>
      <c r="B15">
        <v>0.62905486287758383</v>
      </c>
    </row>
    <row r="16" spans="1:2" x14ac:dyDescent="0.2">
      <c r="A16">
        <v>14</v>
      </c>
      <c r="B16">
        <v>0.60628246221022219</v>
      </c>
    </row>
    <row r="17" spans="1:2" x14ac:dyDescent="0.2">
      <c r="A17">
        <v>15</v>
      </c>
      <c r="B17">
        <v>0.584655944050545</v>
      </c>
    </row>
    <row r="18" spans="1:2" x14ac:dyDescent="0.2">
      <c r="A18">
        <v>16</v>
      </c>
      <c r="B18">
        <v>0.56436689536105278</v>
      </c>
    </row>
    <row r="19" spans="1:2" x14ac:dyDescent="0.2">
      <c r="A19">
        <v>17</v>
      </c>
      <c r="B19">
        <v>0.54526050936341641</v>
      </c>
    </row>
    <row r="20" spans="1:2" x14ac:dyDescent="0.2">
      <c r="A20">
        <v>18</v>
      </c>
      <c r="B20">
        <v>0.52715699690036744</v>
      </c>
    </row>
    <row r="21" spans="1:2" x14ac:dyDescent="0.2">
      <c r="A21">
        <v>19</v>
      </c>
      <c r="B21">
        <v>0.50985635980847033</v>
      </c>
    </row>
    <row r="22" spans="1:2" x14ac:dyDescent="0.2">
      <c r="A22">
        <v>20</v>
      </c>
      <c r="B22">
        <v>0.49323787423817628</v>
      </c>
    </row>
    <row r="23" spans="1:2" x14ac:dyDescent="0.2">
      <c r="A23">
        <v>21</v>
      </c>
      <c r="B23">
        <v>0.47727174232117842</v>
      </c>
    </row>
    <row r="24" spans="1:2" x14ac:dyDescent="0.2">
      <c r="A24">
        <v>22</v>
      </c>
      <c r="B24">
        <v>0.46173338489221172</v>
      </c>
    </row>
    <row r="25" spans="1:2" x14ac:dyDescent="0.2">
      <c r="A25">
        <v>23</v>
      </c>
      <c r="B25">
        <v>0.44678726041282812</v>
      </c>
    </row>
    <row r="26" spans="1:2" x14ac:dyDescent="0.2">
      <c r="A26">
        <v>24</v>
      </c>
      <c r="B26">
        <v>0.43220814299475918</v>
      </c>
    </row>
    <row r="27" spans="1:2" x14ac:dyDescent="0.2">
      <c r="A27">
        <v>25</v>
      </c>
      <c r="B27">
        <v>0.418270392678745</v>
      </c>
    </row>
    <row r="28" spans="1:2" x14ac:dyDescent="0.2">
      <c r="A28">
        <v>26</v>
      </c>
      <c r="B28">
        <v>0.40475090008288828</v>
      </c>
    </row>
    <row r="29" spans="1:2" x14ac:dyDescent="0.2">
      <c r="A29">
        <v>27</v>
      </c>
      <c r="B29">
        <v>0.39162683468860349</v>
      </c>
    </row>
    <row r="30" spans="1:2" x14ac:dyDescent="0.2">
      <c r="A30">
        <v>28</v>
      </c>
      <c r="B30">
        <v>0.37897960758795313</v>
      </c>
    </row>
    <row r="31" spans="1:2" x14ac:dyDescent="0.2">
      <c r="A31">
        <v>29</v>
      </c>
      <c r="B31">
        <v>0.36668771785849141</v>
      </c>
    </row>
    <row r="32" spans="1:2" x14ac:dyDescent="0.2">
      <c r="A32">
        <v>30</v>
      </c>
      <c r="B32">
        <v>0.35483566999291732</v>
      </c>
    </row>
    <row r="33" spans="1:2" x14ac:dyDescent="0.2">
      <c r="A33">
        <v>31</v>
      </c>
      <c r="B33">
        <v>0.34340654513424951</v>
      </c>
    </row>
    <row r="34" spans="1:2" x14ac:dyDescent="0.2">
      <c r="A34">
        <v>32</v>
      </c>
      <c r="B34">
        <v>0.33228136709146538</v>
      </c>
    </row>
    <row r="35" spans="1:2" x14ac:dyDescent="0.2">
      <c r="A35">
        <v>33</v>
      </c>
      <c r="B35">
        <v>0.321547695153927</v>
      </c>
    </row>
    <row r="36" spans="1:2" x14ac:dyDescent="0.2">
      <c r="A36">
        <v>34</v>
      </c>
      <c r="B36">
        <v>0.31119084244044098</v>
      </c>
    </row>
    <row r="37" spans="1:2" x14ac:dyDescent="0.2">
      <c r="A37">
        <v>35</v>
      </c>
      <c r="B37">
        <v>0.30119670315125718</v>
      </c>
    </row>
    <row r="38" spans="1:2" x14ac:dyDescent="0.2">
      <c r="A38">
        <v>36</v>
      </c>
      <c r="B38">
        <v>0.2914503206721149</v>
      </c>
    </row>
    <row r="39" spans="1:2" x14ac:dyDescent="0.2">
      <c r="A39">
        <v>37</v>
      </c>
      <c r="B39">
        <v>0.28214200232055459</v>
      </c>
    </row>
    <row r="40" spans="1:2" x14ac:dyDescent="0.2">
      <c r="A40">
        <v>38</v>
      </c>
      <c r="B40">
        <v>0.27305709606350509</v>
      </c>
    </row>
    <row r="41" spans="1:2" x14ac:dyDescent="0.2">
      <c r="A41">
        <v>39</v>
      </c>
      <c r="B41">
        <v>0.26428516864672258</v>
      </c>
    </row>
    <row r="42" spans="1:2" x14ac:dyDescent="0.2">
      <c r="A42">
        <v>40</v>
      </c>
      <c r="B42">
        <v>0.25571595361407651</v>
      </c>
    </row>
    <row r="43" spans="1:2" x14ac:dyDescent="0.2">
      <c r="A43">
        <v>41</v>
      </c>
      <c r="B43">
        <v>0.24753701685188109</v>
      </c>
    </row>
    <row r="44" spans="1:2" x14ac:dyDescent="0.2">
      <c r="A44">
        <v>42</v>
      </c>
      <c r="B44">
        <v>0.239540960261998</v>
      </c>
    </row>
    <row r="45" spans="1:2" x14ac:dyDescent="0.2">
      <c r="A45">
        <v>43</v>
      </c>
      <c r="B45">
        <v>0.23181664754292911</v>
      </c>
    </row>
    <row r="46" spans="1:2" x14ac:dyDescent="0.2">
      <c r="A46">
        <v>44</v>
      </c>
      <c r="B46">
        <v>0.22444987446833181</v>
      </c>
    </row>
    <row r="47" spans="1:2" x14ac:dyDescent="0.2">
      <c r="A47">
        <v>45</v>
      </c>
      <c r="B47">
        <v>0.21723950817181581</v>
      </c>
    </row>
    <row r="48" spans="1:2" x14ac:dyDescent="0.2">
      <c r="A48">
        <v>46</v>
      </c>
      <c r="B48">
        <v>0.21027297524706889</v>
      </c>
    </row>
    <row r="49" spans="1:2" x14ac:dyDescent="0.2">
      <c r="A49">
        <v>47</v>
      </c>
      <c r="B49">
        <v>0.20344920393254731</v>
      </c>
    </row>
    <row r="50" spans="1:2" x14ac:dyDescent="0.2">
      <c r="A50">
        <v>48</v>
      </c>
      <c r="B50">
        <v>0.1969458584920194</v>
      </c>
    </row>
    <row r="51" spans="1:2" x14ac:dyDescent="0.2">
      <c r="A51">
        <v>49</v>
      </c>
      <c r="B51">
        <v>0.19066146172274001</v>
      </c>
    </row>
    <row r="52" spans="1:2" x14ac:dyDescent="0.2">
      <c r="A52">
        <v>50</v>
      </c>
      <c r="B52">
        <v>0.18449910426911431</v>
      </c>
    </row>
    <row r="53" spans="1:2" x14ac:dyDescent="0.2">
      <c r="A53">
        <v>51</v>
      </c>
      <c r="B53">
        <v>0.1786308817320669</v>
      </c>
    </row>
    <row r="54" spans="1:2" x14ac:dyDescent="0.2">
      <c r="A54">
        <v>52</v>
      </c>
      <c r="B54">
        <v>0.1728724130358836</v>
      </c>
    </row>
    <row r="55" spans="1:2" x14ac:dyDescent="0.2">
      <c r="A55">
        <v>53</v>
      </c>
      <c r="B55">
        <v>0.1673060515711208</v>
      </c>
    </row>
    <row r="56" spans="1:2" x14ac:dyDescent="0.2">
      <c r="A56">
        <v>54</v>
      </c>
      <c r="B56">
        <v>0.1620097511756039</v>
      </c>
    </row>
    <row r="57" spans="1:2" x14ac:dyDescent="0.2">
      <c r="A57">
        <v>55</v>
      </c>
      <c r="B57">
        <v>0.15680681115608169</v>
      </c>
    </row>
    <row r="58" spans="1:2" x14ac:dyDescent="0.2">
      <c r="A58">
        <v>56</v>
      </c>
      <c r="B58">
        <v>0.1517768364307118</v>
      </c>
    </row>
    <row r="59" spans="1:2" x14ac:dyDescent="0.2">
      <c r="A59">
        <v>57</v>
      </c>
      <c r="B59">
        <v>0.14691389582622269</v>
      </c>
    </row>
    <row r="60" spans="1:2" x14ac:dyDescent="0.2">
      <c r="A60">
        <v>58</v>
      </c>
      <c r="B60">
        <v>0.1422122673799654</v>
      </c>
    </row>
    <row r="61" spans="1:2" x14ac:dyDescent="0.2">
      <c r="A61">
        <v>59</v>
      </c>
      <c r="B61">
        <v>0.13766643076634849</v>
      </c>
    </row>
    <row r="62" spans="1:2" x14ac:dyDescent="0.2">
      <c r="A62">
        <v>60</v>
      </c>
      <c r="B62">
        <v>0.13319376146450759</v>
      </c>
    </row>
    <row r="63" spans="1:2" x14ac:dyDescent="0.2">
      <c r="A63">
        <v>61</v>
      </c>
      <c r="B63">
        <v>0.12894493463399251</v>
      </c>
    </row>
    <row r="64" spans="1:2" x14ac:dyDescent="0.2">
      <c r="A64">
        <v>62</v>
      </c>
      <c r="B64">
        <v>0.12483647496990261</v>
      </c>
    </row>
    <row r="65" spans="1:2" x14ac:dyDescent="0.2">
      <c r="A65">
        <v>63</v>
      </c>
      <c r="B65">
        <v>0.1208635972613276</v>
      </c>
    </row>
    <row r="66" spans="1:2" x14ac:dyDescent="0.2">
      <c r="A66">
        <v>64</v>
      </c>
      <c r="B66">
        <v>0.1169492819981155</v>
      </c>
    </row>
    <row r="67" spans="1:2" x14ac:dyDescent="0.2">
      <c r="A67">
        <v>65</v>
      </c>
      <c r="B67">
        <v>0.113235080296474</v>
      </c>
    </row>
    <row r="68" spans="1:2" x14ac:dyDescent="0.2">
      <c r="A68">
        <v>66</v>
      </c>
      <c r="B68">
        <v>0.10957312377573961</v>
      </c>
    </row>
    <row r="69" spans="1:2" x14ac:dyDescent="0.2">
      <c r="A69">
        <v>67</v>
      </c>
      <c r="B69">
        <v>0.1061003680247713</v>
      </c>
    </row>
    <row r="70" spans="1:2" x14ac:dyDescent="0.2">
      <c r="A70">
        <v>68</v>
      </c>
      <c r="B70">
        <v>0.10267411034827401</v>
      </c>
    </row>
    <row r="71" spans="1:2" x14ac:dyDescent="0.2">
      <c r="A71">
        <v>69</v>
      </c>
      <c r="B71">
        <v>9.9426742738784477E-2</v>
      </c>
    </row>
    <row r="72" spans="1:2" x14ac:dyDescent="0.2">
      <c r="A72">
        <v>70</v>
      </c>
      <c r="B72">
        <v>9.6220648270570308E-2</v>
      </c>
    </row>
    <row r="73" spans="1:2" x14ac:dyDescent="0.2">
      <c r="A73">
        <v>71</v>
      </c>
      <c r="B73">
        <v>9.3119738600994234E-2</v>
      </c>
    </row>
    <row r="74" spans="1:2" x14ac:dyDescent="0.2">
      <c r="A74">
        <v>72</v>
      </c>
      <c r="B74">
        <v>9.0183281813814437E-2</v>
      </c>
    </row>
    <row r="75" spans="1:2" x14ac:dyDescent="0.2">
      <c r="A75">
        <v>73</v>
      </c>
      <c r="B75">
        <v>8.7281161030924537E-2</v>
      </c>
    </row>
    <row r="76" spans="1:2" x14ac:dyDescent="0.2">
      <c r="A76">
        <v>74</v>
      </c>
      <c r="B76">
        <v>8.447406576387767E-2</v>
      </c>
    </row>
    <row r="77" spans="1:2" x14ac:dyDescent="0.2">
      <c r="A77">
        <v>75</v>
      </c>
      <c r="B77">
        <v>8.1818160480728486E-2</v>
      </c>
    </row>
    <row r="78" spans="1:2" x14ac:dyDescent="0.2">
      <c r="A78">
        <v>76</v>
      </c>
      <c r="B78">
        <v>7.919059472451466E-2</v>
      </c>
    </row>
    <row r="79" spans="1:2" x14ac:dyDescent="0.2">
      <c r="A79">
        <v>77</v>
      </c>
      <c r="B79">
        <v>7.6648895658256125E-2</v>
      </c>
    </row>
    <row r="80" spans="1:2" x14ac:dyDescent="0.2">
      <c r="A80">
        <v>78</v>
      </c>
      <c r="B80">
        <v>7.4190210537909237E-2</v>
      </c>
    </row>
    <row r="81" spans="1:2" x14ac:dyDescent="0.2">
      <c r="A81">
        <v>79</v>
      </c>
      <c r="B81">
        <v>7.181178289421318E-2</v>
      </c>
    </row>
    <row r="82" spans="1:2" x14ac:dyDescent="0.2">
      <c r="A82">
        <v>80</v>
      </c>
      <c r="B82">
        <v>6.9510949234642419E-2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114</v>
      </c>
      <c r="B1">
        <v>7142</v>
      </c>
      <c r="C1">
        <v>27818</v>
      </c>
      <c r="D1">
        <v>43572</v>
      </c>
      <c r="E1">
        <v>52877</v>
      </c>
      <c r="F1">
        <v>39845</v>
      </c>
      <c r="G1">
        <v>77945</v>
      </c>
      <c r="H1">
        <v>86536</v>
      </c>
      <c r="I1">
        <v>96726</v>
      </c>
      <c r="J1">
        <v>86333</v>
      </c>
      <c r="K1">
        <v>90629</v>
      </c>
    </row>
    <row r="2" spans="1:1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21911.59</v>
      </c>
      <c r="H2">
        <v>21054.15</v>
      </c>
      <c r="I2">
        <v>15514.76</v>
      </c>
      <c r="J2">
        <v>36441.47</v>
      </c>
      <c r="K2">
        <v>27546.84</v>
      </c>
    </row>
    <row r="3" spans="1:11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20458.292836373279</v>
      </c>
      <c r="H3">
        <v>17224.060716479042</v>
      </c>
      <c r="I3">
        <v>15262.85094019202</v>
      </c>
      <c r="J3">
        <v>29247.56531669325</v>
      </c>
      <c r="K3">
        <v>24114.79965775957</v>
      </c>
    </row>
    <row r="4" spans="1:11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18954.05473936515</v>
      </c>
      <c r="H4">
        <v>13734.064054662311</v>
      </c>
      <c r="I4">
        <v>14993.298469063029</v>
      </c>
      <c r="J4">
        <v>22872.96666428091</v>
      </c>
      <c r="K4">
        <v>20719.29563959951</v>
      </c>
    </row>
    <row r="5" spans="1:11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17397.151464256811</v>
      </c>
      <c r="H5">
        <v>10679.37393526943</v>
      </c>
      <c r="I5">
        <v>14711.14123613642</v>
      </c>
      <c r="J5">
        <v>17303.317706138809</v>
      </c>
      <c r="K5">
        <v>17481.06711916082</v>
      </c>
    </row>
    <row r="6" spans="1:11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15769.46414840794</v>
      </c>
      <c r="H6">
        <v>8057.8508623518173</v>
      </c>
      <c r="I6">
        <v>14409.40905187667</v>
      </c>
      <c r="J6">
        <v>12789.96057866334</v>
      </c>
      <c r="K6">
        <v>14393.901771467599</v>
      </c>
    </row>
    <row r="7" spans="1:11" x14ac:dyDescent="0.2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14110.35788717256</v>
      </c>
      <c r="H7">
        <v>5899.8781673960193</v>
      </c>
      <c r="I7">
        <v>14084.131943953051</v>
      </c>
      <c r="J7">
        <v>9094.0195961536065</v>
      </c>
      <c r="K7">
        <v>11616.720511957699</v>
      </c>
    </row>
    <row r="8" spans="1:11" x14ac:dyDescent="0.2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12438.088548362861</v>
      </c>
      <c r="H8">
        <v>4146.0315437338504</v>
      </c>
      <c r="I8">
        <v>13736.398113384519</v>
      </c>
      <c r="J8">
        <v>6309.262923525589</v>
      </c>
      <c r="K8">
        <v>9128.0656385119546</v>
      </c>
    </row>
    <row r="9" spans="1:11" x14ac:dyDescent="0.2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10761.1408469814</v>
      </c>
      <c r="H9">
        <v>2853.9896938665461</v>
      </c>
      <c r="I9">
        <v>13357.092682427519</v>
      </c>
      <c r="J9">
        <v>4261.7362146591413</v>
      </c>
      <c r="K9">
        <v>6929.9740075872432</v>
      </c>
    </row>
    <row r="10" spans="1:11" x14ac:dyDescent="0.2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9142.0026346320392</v>
      </c>
      <c r="H10">
        <v>1888.006560143458</v>
      </c>
      <c r="I10">
        <v>12952.242840387429</v>
      </c>
      <c r="J10">
        <v>2761.2195733362951</v>
      </c>
      <c r="K10">
        <v>5145.1480601720887</v>
      </c>
    </row>
    <row r="11" spans="1:11" x14ac:dyDescent="0.2">
      <c r="A11">
        <v>9</v>
      </c>
      <c r="B11">
        <v>0</v>
      </c>
      <c r="C11">
        <v>21695.56015723629</v>
      </c>
      <c r="D11">
        <v>0</v>
      </c>
      <c r="E11">
        <v>0</v>
      </c>
      <c r="F11">
        <v>0</v>
      </c>
      <c r="G11">
        <v>7574.9716698198617</v>
      </c>
      <c r="H11">
        <v>1187.820702154218</v>
      </c>
      <c r="I11">
        <v>12514.32281956031</v>
      </c>
      <c r="J11">
        <v>1754.8853807498549</v>
      </c>
      <c r="K11">
        <v>3668.5593295355002</v>
      </c>
    </row>
    <row r="12" spans="1:11" x14ac:dyDescent="0.2">
      <c r="A12">
        <v>10</v>
      </c>
      <c r="B12">
        <v>0</v>
      </c>
      <c r="C12">
        <v>21498.662233512241</v>
      </c>
      <c r="D12">
        <v>0</v>
      </c>
      <c r="E12">
        <v>0</v>
      </c>
      <c r="F12">
        <v>0</v>
      </c>
      <c r="G12">
        <v>6154.8087825244356</v>
      </c>
      <c r="H12">
        <v>699.09350581409569</v>
      </c>
      <c r="I12">
        <v>12040.39550218731</v>
      </c>
      <c r="J12">
        <v>1092.7865030871051</v>
      </c>
      <c r="K12">
        <v>2553.2044910704872</v>
      </c>
    </row>
    <row r="13" spans="1:11" x14ac:dyDescent="0.2">
      <c r="A13">
        <v>11</v>
      </c>
      <c r="B13">
        <v>0</v>
      </c>
      <c r="C13">
        <v>21284.76772584119</v>
      </c>
      <c r="D13">
        <v>0</v>
      </c>
      <c r="E13">
        <v>0</v>
      </c>
      <c r="F13">
        <v>0</v>
      </c>
      <c r="G13">
        <v>4864.4292209418281</v>
      </c>
      <c r="H13">
        <v>386.21077165757612</v>
      </c>
      <c r="I13">
        <v>11520.961418011861</v>
      </c>
      <c r="J13">
        <v>623.30158369464755</v>
      </c>
      <c r="K13">
        <v>1729.389276495569</v>
      </c>
    </row>
    <row r="14" spans="1:11" x14ac:dyDescent="0.2">
      <c r="A14">
        <v>12</v>
      </c>
      <c r="B14">
        <v>0</v>
      </c>
      <c r="C14">
        <v>21059.05761559575</v>
      </c>
      <c r="D14">
        <v>0</v>
      </c>
      <c r="E14">
        <v>0</v>
      </c>
      <c r="F14">
        <v>0</v>
      </c>
      <c r="G14">
        <v>3709.2789533779178</v>
      </c>
      <c r="H14">
        <v>198.63868305637021</v>
      </c>
      <c r="I14">
        <v>10968.808945440591</v>
      </c>
      <c r="J14">
        <v>336.22930110564897</v>
      </c>
      <c r="K14">
        <v>1125.021474003458</v>
      </c>
    </row>
    <row r="15" spans="1:11" x14ac:dyDescent="0.2">
      <c r="A15">
        <v>13</v>
      </c>
      <c r="B15">
        <v>0</v>
      </c>
      <c r="C15">
        <v>20816.28042867019</v>
      </c>
      <c r="D15">
        <v>0</v>
      </c>
      <c r="E15">
        <v>3462.2277018866039</v>
      </c>
      <c r="F15">
        <v>0</v>
      </c>
      <c r="G15">
        <v>2769.0073875121102</v>
      </c>
      <c r="H15">
        <v>94.234341549178041</v>
      </c>
      <c r="I15">
        <v>10370.38830733722</v>
      </c>
      <c r="J15">
        <v>170.50076312594541</v>
      </c>
      <c r="K15">
        <v>717.5891609014933</v>
      </c>
    </row>
    <row r="16" spans="1:11" x14ac:dyDescent="0.2">
      <c r="A16">
        <v>14</v>
      </c>
      <c r="B16">
        <v>0</v>
      </c>
      <c r="C16">
        <v>20556.33841792063</v>
      </c>
      <c r="D16">
        <v>0</v>
      </c>
      <c r="E16">
        <v>3428.421592034455</v>
      </c>
      <c r="F16">
        <v>0</v>
      </c>
      <c r="G16">
        <v>1981.1693870201329</v>
      </c>
      <c r="H16">
        <v>40.799490490003429</v>
      </c>
      <c r="I16">
        <v>9738.6651437995424</v>
      </c>
      <c r="J16">
        <v>80.732072348464087</v>
      </c>
      <c r="K16">
        <v>450.64954386918879</v>
      </c>
    </row>
    <row r="17" spans="1:11" x14ac:dyDescent="0.2">
      <c r="A17">
        <v>15</v>
      </c>
      <c r="B17">
        <v>0</v>
      </c>
      <c r="C17">
        <v>20275.14769105642</v>
      </c>
      <c r="D17">
        <v>0</v>
      </c>
      <c r="E17">
        <v>3391.977671092583</v>
      </c>
      <c r="F17">
        <v>0</v>
      </c>
      <c r="G17">
        <v>1384.2172450649909</v>
      </c>
      <c r="H17">
        <v>15.92762605526412</v>
      </c>
      <c r="I17">
        <v>9066.4076820204664</v>
      </c>
      <c r="J17">
        <v>35.426624345184187</v>
      </c>
      <c r="K17">
        <v>257.85853631291059</v>
      </c>
    </row>
    <row r="18" spans="1:11" x14ac:dyDescent="0.2">
      <c r="A18">
        <v>16</v>
      </c>
      <c r="B18">
        <v>22161.04920394508</v>
      </c>
      <c r="C18">
        <v>19969.345982142979</v>
      </c>
      <c r="D18">
        <v>0</v>
      </c>
      <c r="E18">
        <v>3352.9028245239051</v>
      </c>
      <c r="F18">
        <v>0</v>
      </c>
      <c r="G18">
        <v>940.80276313749607</v>
      </c>
      <c r="H18">
        <v>5.5298097042287164</v>
      </c>
      <c r="I18">
        <v>8336.8445195257336</v>
      </c>
      <c r="J18">
        <v>14.286622195008841</v>
      </c>
      <c r="K18">
        <v>139.4594951077803</v>
      </c>
    </row>
    <row r="19" spans="1:11" x14ac:dyDescent="0.2">
      <c r="A19">
        <v>17</v>
      </c>
      <c r="B19">
        <v>21972.847440485381</v>
      </c>
      <c r="C19">
        <v>19635.287228589699</v>
      </c>
      <c r="D19">
        <v>0</v>
      </c>
      <c r="E19">
        <v>3310.9869091671499</v>
      </c>
      <c r="F19">
        <v>0</v>
      </c>
      <c r="G19">
        <v>615.08593776917667</v>
      </c>
      <c r="H19">
        <v>1.680722613718993</v>
      </c>
      <c r="I19">
        <v>7572.7486733770838</v>
      </c>
      <c r="J19">
        <v>5.2452665000091114</v>
      </c>
      <c r="K19">
        <v>70.852353252599002</v>
      </c>
    </row>
    <row r="20" spans="1:11" x14ac:dyDescent="0.2">
      <c r="A20">
        <v>18</v>
      </c>
      <c r="B20">
        <v>21767.848994787098</v>
      </c>
      <c r="C20">
        <v>19266.980651460981</v>
      </c>
      <c r="D20">
        <v>0</v>
      </c>
      <c r="E20">
        <v>3267.3702066301798</v>
      </c>
      <c r="F20">
        <v>0</v>
      </c>
      <c r="G20">
        <v>394.08724389934372</v>
      </c>
      <c r="H20">
        <v>0.43923578604401908</v>
      </c>
      <c r="I20">
        <v>6777.2967599316689</v>
      </c>
      <c r="J20">
        <v>1.7349306016097339</v>
      </c>
      <c r="K20">
        <v>33.581577155844421</v>
      </c>
    </row>
    <row r="21" spans="1:11" x14ac:dyDescent="0.2">
      <c r="A21">
        <v>19</v>
      </c>
      <c r="B21">
        <v>21552.29395748645</v>
      </c>
      <c r="C21">
        <v>18872.422628161621</v>
      </c>
      <c r="D21">
        <v>10223.07213025131</v>
      </c>
      <c r="E21">
        <v>3220.291771661944</v>
      </c>
      <c r="F21">
        <v>0</v>
      </c>
      <c r="G21">
        <v>250.0683946706728</v>
      </c>
      <c r="H21">
        <v>0</v>
      </c>
      <c r="I21">
        <v>5954.4689123050302</v>
      </c>
      <c r="J21">
        <v>0.51093674849190007</v>
      </c>
      <c r="K21">
        <v>14.734516777564011</v>
      </c>
    </row>
    <row r="22" spans="1:11" x14ac:dyDescent="0.2">
      <c r="A22">
        <v>20</v>
      </c>
      <c r="B22">
        <v>21321.032919004669</v>
      </c>
      <c r="C22">
        <v>18443.89388112404</v>
      </c>
      <c r="D22">
        <v>10138.689399121349</v>
      </c>
      <c r="E22">
        <v>3168.8218862677008</v>
      </c>
      <c r="F22">
        <v>0</v>
      </c>
      <c r="G22">
        <v>143.653098424993</v>
      </c>
      <c r="H22">
        <v>0</v>
      </c>
      <c r="I22">
        <v>5137.0916500459052</v>
      </c>
      <c r="J22">
        <v>0</v>
      </c>
      <c r="K22">
        <v>5.9334648030705024</v>
      </c>
    </row>
    <row r="23" spans="1:11" x14ac:dyDescent="0.2">
      <c r="A23">
        <v>21</v>
      </c>
      <c r="B23">
        <v>21073.313658219591</v>
      </c>
      <c r="C23">
        <v>17971.60606294949</v>
      </c>
      <c r="D23">
        <v>10046.670717666349</v>
      </c>
      <c r="E23">
        <v>3113.1405832897231</v>
      </c>
      <c r="F23">
        <v>0</v>
      </c>
      <c r="G23">
        <v>77.944674122390495</v>
      </c>
      <c r="H23">
        <v>0</v>
      </c>
      <c r="I23">
        <v>4317.6963962489044</v>
      </c>
      <c r="J23">
        <v>0</v>
      </c>
      <c r="K23">
        <v>2.1718038215595419</v>
      </c>
    </row>
    <row r="24" spans="1:11" x14ac:dyDescent="0.2">
      <c r="A24">
        <v>22</v>
      </c>
      <c r="B24">
        <v>20805.674373877649</v>
      </c>
      <c r="C24">
        <v>17437.27632871682</v>
      </c>
      <c r="D24">
        <v>9950.0620283891003</v>
      </c>
      <c r="E24">
        <v>3051.1772248151342</v>
      </c>
      <c r="F24">
        <v>0</v>
      </c>
      <c r="G24">
        <v>39.69252648419841</v>
      </c>
      <c r="H24">
        <v>0</v>
      </c>
      <c r="I24">
        <v>3562.4091132665039</v>
      </c>
      <c r="J24">
        <v>0</v>
      </c>
      <c r="K24">
        <v>0.71477712238778213</v>
      </c>
    </row>
    <row r="25" spans="1:11" x14ac:dyDescent="0.2">
      <c r="A25">
        <v>23</v>
      </c>
      <c r="B25">
        <v>20514.39583195468</v>
      </c>
      <c r="C25">
        <v>16862.767575996699</v>
      </c>
      <c r="D25">
        <v>9846.5295258118786</v>
      </c>
      <c r="E25">
        <v>2984.086026638211</v>
      </c>
      <c r="F25">
        <v>0</v>
      </c>
      <c r="G25">
        <v>18.835994639551281</v>
      </c>
      <c r="H25">
        <v>0</v>
      </c>
      <c r="I25">
        <v>2853.4422817442019</v>
      </c>
      <c r="J25">
        <v>0</v>
      </c>
      <c r="K25">
        <v>0.20897229049387969</v>
      </c>
    </row>
    <row r="26" spans="1:11" x14ac:dyDescent="0.2">
      <c r="A26">
        <v>24</v>
      </c>
      <c r="B26">
        <v>20196.10239661939</v>
      </c>
      <c r="C26">
        <v>16219.725414292299</v>
      </c>
      <c r="D26">
        <v>9735.610267225853</v>
      </c>
      <c r="E26">
        <v>2910.1172327467152</v>
      </c>
      <c r="F26">
        <v>0</v>
      </c>
      <c r="G26">
        <v>8.2634666577681664</v>
      </c>
      <c r="H26">
        <v>0</v>
      </c>
      <c r="I26">
        <v>2198.2410341216778</v>
      </c>
      <c r="J26">
        <v>0</v>
      </c>
      <c r="K26">
        <v>0</v>
      </c>
    </row>
    <row r="27" spans="1:11" x14ac:dyDescent="0.2">
      <c r="A27">
        <v>25</v>
      </c>
      <c r="B27">
        <v>19843.960876266319</v>
      </c>
      <c r="C27">
        <v>15514.11716389134</v>
      </c>
      <c r="D27">
        <v>9615.83723583764</v>
      </c>
      <c r="E27">
        <v>2828.1636873852599</v>
      </c>
      <c r="F27">
        <v>0</v>
      </c>
      <c r="G27">
        <v>3.3216143257290001</v>
      </c>
      <c r="H27">
        <v>0</v>
      </c>
      <c r="I27">
        <v>1661.952199354366</v>
      </c>
      <c r="J27">
        <v>0</v>
      </c>
      <c r="K27">
        <v>0</v>
      </c>
    </row>
    <row r="28" spans="1:11" x14ac:dyDescent="0.2">
      <c r="A28">
        <v>26</v>
      </c>
      <c r="B28">
        <v>19467.921916745148</v>
      </c>
      <c r="C28">
        <v>14761.063895853869</v>
      </c>
      <c r="D28">
        <v>9485.4471615525727</v>
      </c>
      <c r="E28">
        <v>2735.6062430885008</v>
      </c>
      <c r="F28">
        <v>0</v>
      </c>
      <c r="G28">
        <v>1.2111516519993231</v>
      </c>
      <c r="H28">
        <v>0</v>
      </c>
      <c r="I28">
        <v>1198.818460318028</v>
      </c>
      <c r="J28">
        <v>0</v>
      </c>
      <c r="K28">
        <v>0</v>
      </c>
    </row>
    <row r="29" spans="1:11" x14ac:dyDescent="0.2">
      <c r="A29">
        <v>27</v>
      </c>
      <c r="B29">
        <v>19059.088729342981</v>
      </c>
      <c r="C29">
        <v>13901.88178998088</v>
      </c>
      <c r="D29">
        <v>9342.9485314099093</v>
      </c>
      <c r="E29">
        <v>2635.3419064022669</v>
      </c>
      <c r="F29">
        <v>0</v>
      </c>
      <c r="G29">
        <v>0.39612224989095302</v>
      </c>
      <c r="H29">
        <v>0</v>
      </c>
      <c r="I29">
        <v>845.32635802973493</v>
      </c>
      <c r="J29">
        <v>0</v>
      </c>
      <c r="K29">
        <v>0</v>
      </c>
    </row>
    <row r="30" spans="1:11" x14ac:dyDescent="0.2">
      <c r="A30">
        <v>28</v>
      </c>
      <c r="B30">
        <v>18606.8442624114</v>
      </c>
      <c r="C30">
        <v>12953.16238003662</v>
      </c>
      <c r="D30">
        <v>9185.0668131167986</v>
      </c>
      <c r="E30">
        <v>2522.8897210837481</v>
      </c>
      <c r="F30">
        <v>0</v>
      </c>
      <c r="G30">
        <v>0.1147524589324939</v>
      </c>
      <c r="H30">
        <v>0</v>
      </c>
      <c r="I30">
        <v>579.20836462608042</v>
      </c>
      <c r="J30">
        <v>0</v>
      </c>
      <c r="K30">
        <v>0</v>
      </c>
    </row>
    <row r="31" spans="1:11" x14ac:dyDescent="0.2">
      <c r="A31">
        <v>29</v>
      </c>
      <c r="B31">
        <v>18092.01372281733</v>
      </c>
      <c r="C31">
        <v>11943.953385923911</v>
      </c>
      <c r="D31">
        <v>9016.70671173353</v>
      </c>
      <c r="E31">
        <v>2401.6119844978798</v>
      </c>
      <c r="F31">
        <v>5616.7545161349863</v>
      </c>
      <c r="G31">
        <v>0</v>
      </c>
      <c r="H31">
        <v>0</v>
      </c>
      <c r="I31">
        <v>383.15613186003839</v>
      </c>
      <c r="J31">
        <v>0</v>
      </c>
      <c r="K31">
        <v>0</v>
      </c>
    </row>
    <row r="32" spans="1:11" x14ac:dyDescent="0.2">
      <c r="A32">
        <v>30</v>
      </c>
      <c r="B32">
        <v>17538.745267750339</v>
      </c>
      <c r="C32">
        <v>10864.250700323641</v>
      </c>
      <c r="D32">
        <v>8833.5908329676568</v>
      </c>
      <c r="E32">
        <v>2268.430094494503</v>
      </c>
      <c r="F32">
        <v>5578.8654512015864</v>
      </c>
      <c r="G32">
        <v>0</v>
      </c>
      <c r="H32">
        <v>0</v>
      </c>
      <c r="I32">
        <v>248.0924919380401</v>
      </c>
      <c r="J32">
        <v>0</v>
      </c>
      <c r="K32">
        <v>0</v>
      </c>
    </row>
    <row r="33" spans="1:11" x14ac:dyDescent="0.2">
      <c r="A33">
        <v>31</v>
      </c>
      <c r="B33">
        <v>16915.44991630959</v>
      </c>
      <c r="C33">
        <v>9725.9735206726746</v>
      </c>
      <c r="D33">
        <v>8630.7196234503717</v>
      </c>
      <c r="E33">
        <v>2117.4540954073641</v>
      </c>
      <c r="F33">
        <v>5537.8827266162907</v>
      </c>
      <c r="G33">
        <v>0</v>
      </c>
      <c r="H33">
        <v>0</v>
      </c>
      <c r="I33">
        <v>161.24372587167511</v>
      </c>
      <c r="J33">
        <v>0</v>
      </c>
      <c r="K33">
        <v>0</v>
      </c>
    </row>
    <row r="34" spans="1:11" x14ac:dyDescent="0.2">
      <c r="A34">
        <v>32</v>
      </c>
      <c r="B34">
        <v>16227.789314359519</v>
      </c>
      <c r="C34">
        <v>8518.5890910913076</v>
      </c>
      <c r="D34">
        <v>8399.170068741967</v>
      </c>
      <c r="E34">
        <v>1954.3455099741129</v>
      </c>
      <c r="F34">
        <v>5493.6782978987594</v>
      </c>
      <c r="G34">
        <v>0</v>
      </c>
      <c r="H34">
        <v>0</v>
      </c>
      <c r="I34">
        <v>93.498025438498431</v>
      </c>
      <c r="J34">
        <v>0</v>
      </c>
      <c r="K34">
        <v>0</v>
      </c>
    </row>
    <row r="35" spans="1:11" x14ac:dyDescent="0.2">
      <c r="A35">
        <v>33</v>
      </c>
      <c r="B35">
        <v>15492.66388535865</v>
      </c>
      <c r="C35">
        <v>7312.8706166743677</v>
      </c>
      <c r="D35">
        <v>8150.3983233869494</v>
      </c>
      <c r="E35">
        <v>1778.0176131599051</v>
      </c>
      <c r="F35">
        <v>5446.2099826328231</v>
      </c>
      <c r="G35">
        <v>0</v>
      </c>
      <c r="H35">
        <v>0</v>
      </c>
      <c r="I35">
        <v>51.122900810873269</v>
      </c>
      <c r="J35">
        <v>0</v>
      </c>
      <c r="K35">
        <v>0</v>
      </c>
    </row>
    <row r="36" spans="1:11" x14ac:dyDescent="0.2">
      <c r="A36">
        <v>34</v>
      </c>
      <c r="B36">
        <v>14643.00538320022</v>
      </c>
      <c r="C36">
        <v>6136.9118425695169</v>
      </c>
      <c r="D36">
        <v>7869.3759106232474</v>
      </c>
      <c r="E36">
        <v>1588.8601881003581</v>
      </c>
      <c r="F36">
        <v>5397.214649991417</v>
      </c>
      <c r="G36">
        <v>0</v>
      </c>
      <c r="H36">
        <v>0</v>
      </c>
      <c r="I36">
        <v>26.179547887074332</v>
      </c>
      <c r="J36">
        <v>0</v>
      </c>
      <c r="K36">
        <v>0</v>
      </c>
    </row>
    <row r="37" spans="1:11" x14ac:dyDescent="0.2">
      <c r="A37">
        <v>35</v>
      </c>
      <c r="B37">
        <v>13696.32752378433</v>
      </c>
      <c r="C37">
        <v>5010.0618154025105</v>
      </c>
      <c r="D37">
        <v>7558.6303062968891</v>
      </c>
      <c r="E37">
        <v>1394.575668963163</v>
      </c>
      <c r="F37">
        <v>5343.9083795978531</v>
      </c>
      <c r="G37">
        <v>0</v>
      </c>
      <c r="H37">
        <v>0</v>
      </c>
      <c r="I37">
        <v>12.45998724902079</v>
      </c>
      <c r="J37">
        <v>0</v>
      </c>
      <c r="K37">
        <v>0</v>
      </c>
    </row>
    <row r="38" spans="1:11" x14ac:dyDescent="0.2">
      <c r="A38">
        <v>36</v>
      </c>
      <c r="B38">
        <v>12683.495360071631</v>
      </c>
      <c r="C38">
        <v>3997.9300154472812</v>
      </c>
      <c r="D38">
        <v>7226.2202667342044</v>
      </c>
      <c r="E38">
        <v>1191.4177985557301</v>
      </c>
      <c r="F38">
        <v>5284.8742068290812</v>
      </c>
      <c r="G38">
        <v>0</v>
      </c>
      <c r="H38">
        <v>0</v>
      </c>
      <c r="I38">
        <v>5.4644274651279714</v>
      </c>
      <c r="J38">
        <v>0</v>
      </c>
      <c r="K38">
        <v>0</v>
      </c>
    </row>
    <row r="39" spans="1:11" x14ac:dyDescent="0.2">
      <c r="A39">
        <v>37</v>
      </c>
      <c r="B39">
        <v>11589.222797929169</v>
      </c>
      <c r="C39">
        <v>3089.7725819215361</v>
      </c>
      <c r="D39">
        <v>6839.9090899995881</v>
      </c>
      <c r="E39">
        <v>1000.440754886518</v>
      </c>
      <c r="F39">
        <v>5220.3393729340423</v>
      </c>
      <c r="G39">
        <v>0</v>
      </c>
      <c r="H39">
        <v>0</v>
      </c>
      <c r="I39">
        <v>2.1869552620553812</v>
      </c>
      <c r="J39">
        <v>0</v>
      </c>
      <c r="K39">
        <v>0</v>
      </c>
    </row>
    <row r="40" spans="1:11" x14ac:dyDescent="0.2">
      <c r="A40">
        <v>38</v>
      </c>
      <c r="B40">
        <v>10424.920888106109</v>
      </c>
      <c r="C40">
        <v>2320.0811479453459</v>
      </c>
      <c r="D40">
        <v>6407.8526539229752</v>
      </c>
      <c r="E40">
        <v>813.98168767802326</v>
      </c>
      <c r="F40">
        <v>5147.1495868743623</v>
      </c>
      <c r="G40">
        <v>0</v>
      </c>
      <c r="H40">
        <v>0</v>
      </c>
      <c r="I40">
        <v>0.79008235482604428</v>
      </c>
      <c r="J40">
        <v>0</v>
      </c>
      <c r="K40">
        <v>0</v>
      </c>
    </row>
    <row r="41" spans="1:11" x14ac:dyDescent="0.2">
      <c r="A41">
        <v>39</v>
      </c>
      <c r="B41">
        <v>9173.6323439544503</v>
      </c>
      <c r="C41">
        <v>1651.2516016131731</v>
      </c>
      <c r="D41">
        <v>5944.4969810836174</v>
      </c>
      <c r="E41">
        <v>634.81328128057248</v>
      </c>
      <c r="F41">
        <v>5066.8840717224639</v>
      </c>
      <c r="G41">
        <v>0</v>
      </c>
      <c r="H41">
        <v>0</v>
      </c>
      <c r="I41">
        <v>0.25451535212602239</v>
      </c>
      <c r="J41">
        <v>0</v>
      </c>
      <c r="K41">
        <v>0</v>
      </c>
    </row>
    <row r="42" spans="1:11" x14ac:dyDescent="0.2">
      <c r="A42">
        <v>40</v>
      </c>
      <c r="B42">
        <v>7914.0778274289014</v>
      </c>
      <c r="C42">
        <v>1166.3537414474399</v>
      </c>
      <c r="D42">
        <v>5441.8064675638179</v>
      </c>
      <c r="E42">
        <v>487.23682355940491</v>
      </c>
      <c r="F42">
        <v>4976.8129056265516</v>
      </c>
      <c r="G42">
        <v>0</v>
      </c>
      <c r="H42">
        <v>0</v>
      </c>
      <c r="I42">
        <v>7.2104153524103126E-2</v>
      </c>
      <c r="J42">
        <v>0</v>
      </c>
      <c r="K42">
        <v>0</v>
      </c>
    </row>
    <row r="43" spans="1:11" x14ac:dyDescent="0.2">
      <c r="A43">
        <v>41</v>
      </c>
      <c r="B43">
        <v>6674.5563175040697</v>
      </c>
      <c r="C43">
        <v>776.09278080388469</v>
      </c>
      <c r="D43">
        <v>4904.8672955873153</v>
      </c>
      <c r="E43">
        <v>354.95718499399192</v>
      </c>
      <c r="F43">
        <v>4874.7730529948503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>
        <v>42</v>
      </c>
      <c r="B44">
        <v>5474.5043328970623</v>
      </c>
      <c r="C44">
        <v>491.47595886425222</v>
      </c>
      <c r="D44">
        <v>4324.5943661805204</v>
      </c>
      <c r="E44">
        <v>253.0981930620523</v>
      </c>
      <c r="F44">
        <v>4756.1267146560522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>
        <v>43</v>
      </c>
      <c r="B45">
        <v>4391.0589503184819</v>
      </c>
      <c r="C45">
        <v>288.80578826395941</v>
      </c>
      <c r="D45">
        <v>3738.5200980195441</v>
      </c>
      <c r="E45">
        <v>175.14231352393099</v>
      </c>
      <c r="F45">
        <v>4625.3770260518413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>
        <v>44</v>
      </c>
      <c r="B46">
        <v>3409.994960391844</v>
      </c>
      <c r="C46">
        <v>157.79883012430349</v>
      </c>
      <c r="D46">
        <v>3159.5751896788252</v>
      </c>
      <c r="E46">
        <v>117.52051964914961</v>
      </c>
      <c r="F46">
        <v>4473.7436408479316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>
        <v>45</v>
      </c>
      <c r="B47">
        <v>2573.5777428997021</v>
      </c>
      <c r="C47">
        <v>79.321287937305158</v>
      </c>
      <c r="D47">
        <v>2596.6079659427719</v>
      </c>
      <c r="E47">
        <v>77.077172039833002</v>
      </c>
      <c r="F47">
        <v>4306.9572387139306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>
        <v>46</v>
      </c>
      <c r="B48">
        <v>1836.506920887472</v>
      </c>
      <c r="C48">
        <v>36.236781609181783</v>
      </c>
      <c r="D48">
        <v>2087.237847780576</v>
      </c>
      <c r="E48">
        <v>51.526595994606197</v>
      </c>
      <c r="F48">
        <v>4118.1602988334553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>
        <v>47</v>
      </c>
      <c r="B49">
        <v>1304.017831223757</v>
      </c>
      <c r="C49">
        <v>14.833617772399821</v>
      </c>
      <c r="D49">
        <v>1624.2072468070889</v>
      </c>
      <c r="E49">
        <v>30.22275384349976</v>
      </c>
      <c r="F49">
        <v>3894.6393199769391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>
        <v>48</v>
      </c>
      <c r="B50">
        <v>868.75920969079846</v>
      </c>
      <c r="C50">
        <v>5.3529182292541266</v>
      </c>
      <c r="D50">
        <v>1228.453684391583</v>
      </c>
      <c r="E50">
        <v>16.682648904265879</v>
      </c>
      <c r="F50">
        <v>3645.75418189727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>
        <v>49</v>
      </c>
      <c r="B51">
        <v>550.80810234875094</v>
      </c>
      <c r="C51">
        <v>1.67665142415383</v>
      </c>
      <c r="D51">
        <v>877.2828323315307</v>
      </c>
      <c r="E51">
        <v>8.5983425693025275</v>
      </c>
      <c r="F51">
        <v>3363.5551976424108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>
        <v>50</v>
      </c>
      <c r="B52">
        <v>323.59411380537881</v>
      </c>
      <c r="C52">
        <v>0.44695270458546421</v>
      </c>
      <c r="D52">
        <v>623.37966334075156</v>
      </c>
      <c r="E52">
        <v>4.1053148671212414</v>
      </c>
      <c r="F52">
        <v>3047.5274715001851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>
        <v>51</v>
      </c>
      <c r="B53">
        <v>176.56788868684851</v>
      </c>
      <c r="C53">
        <v>9.915584657573967E-2</v>
      </c>
      <c r="D53">
        <v>415.3063023325326</v>
      </c>
      <c r="E53">
        <v>1.799810686817527</v>
      </c>
      <c r="F53">
        <v>2710.6820450623418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>
        <v>52</v>
      </c>
      <c r="B54">
        <v>88.567829846960464</v>
      </c>
      <c r="C54">
        <v>0</v>
      </c>
      <c r="D54">
        <v>263.31125325586498</v>
      </c>
      <c r="E54">
        <v>0.71743088206386785</v>
      </c>
      <c r="F54">
        <v>2343.6245501344251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>
        <v>53</v>
      </c>
      <c r="B55">
        <v>40.366079471765943</v>
      </c>
      <c r="C55">
        <v>0</v>
      </c>
      <c r="D55">
        <v>154.69266208863081</v>
      </c>
      <c r="E55">
        <v>0.25717990616136271</v>
      </c>
      <c r="F55">
        <v>1991.4404920577319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>
        <v>54</v>
      </c>
      <c r="B56">
        <v>16.494961038474699</v>
      </c>
      <c r="C56">
        <v>0</v>
      </c>
      <c r="D56">
        <v>84.407458526161903</v>
      </c>
      <c r="E56">
        <v>8.189892508635814E-2</v>
      </c>
      <c r="F56">
        <v>1636.266486219369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>
        <v>55</v>
      </c>
      <c r="B57">
        <v>5.9524371591922893</v>
      </c>
      <c r="C57">
        <v>0</v>
      </c>
      <c r="D57">
        <v>42.339439408589968</v>
      </c>
      <c r="E57">
        <v>2.285441837660071E-2</v>
      </c>
      <c r="F57">
        <v>1285.167064307976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>
        <v>56</v>
      </c>
      <c r="B58">
        <v>1.8644339055290531</v>
      </c>
      <c r="C58">
        <v>0</v>
      </c>
      <c r="D58">
        <v>19.296816676103919</v>
      </c>
      <c r="E58">
        <v>0</v>
      </c>
      <c r="F58">
        <v>994.03523918982989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>
        <v>57</v>
      </c>
      <c r="B59">
        <v>0.49701074689248859</v>
      </c>
      <c r="C59">
        <v>0</v>
      </c>
      <c r="D59">
        <v>7.8853394583825844</v>
      </c>
      <c r="E59">
        <v>0</v>
      </c>
      <c r="F59">
        <v>727.4445650298652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>
        <v>58</v>
      </c>
      <c r="B60">
        <v>0.11026115483756289</v>
      </c>
      <c r="C60">
        <v>0</v>
      </c>
      <c r="D60">
        <v>2.8455349179328508</v>
      </c>
      <c r="E60">
        <v>0</v>
      </c>
      <c r="F60">
        <v>520.96226102613696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>
        <v>59</v>
      </c>
      <c r="B61">
        <v>0</v>
      </c>
      <c r="C61">
        <v>0</v>
      </c>
      <c r="D61">
        <v>0.89128396293405587</v>
      </c>
      <c r="E61">
        <v>0</v>
      </c>
      <c r="F61">
        <v>361.67106762779878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>
        <v>60</v>
      </c>
      <c r="B62">
        <v>0</v>
      </c>
      <c r="C62">
        <v>0</v>
      </c>
      <c r="D62">
        <v>0.23759367752189239</v>
      </c>
      <c r="E62">
        <v>0</v>
      </c>
      <c r="F62">
        <v>243.58389105833561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>
        <v>61</v>
      </c>
      <c r="B63">
        <v>0</v>
      </c>
      <c r="C63">
        <v>0</v>
      </c>
      <c r="D63">
        <v>5.2709832593085322E-2</v>
      </c>
      <c r="E63">
        <v>0</v>
      </c>
      <c r="F63">
        <v>160.16055583516149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>
        <v>62</v>
      </c>
      <c r="B64">
        <v>0</v>
      </c>
      <c r="C64">
        <v>0</v>
      </c>
      <c r="D64">
        <v>0</v>
      </c>
      <c r="E64">
        <v>0</v>
      </c>
      <c r="F64">
        <v>107.4561174249462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>
        <v>63</v>
      </c>
      <c r="B65">
        <v>0</v>
      </c>
      <c r="C65">
        <v>0</v>
      </c>
      <c r="D65">
        <v>0</v>
      </c>
      <c r="E65">
        <v>0</v>
      </c>
      <c r="F65">
        <v>63.07571309528651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>
        <v>64</v>
      </c>
      <c r="B66">
        <v>0</v>
      </c>
      <c r="C66">
        <v>0</v>
      </c>
      <c r="D66">
        <v>0</v>
      </c>
      <c r="E66">
        <v>0</v>
      </c>
      <c r="F66">
        <v>34.817144109493192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>
        <v>65</v>
      </c>
      <c r="B67">
        <v>0</v>
      </c>
      <c r="C67">
        <v>0</v>
      </c>
      <c r="D67">
        <v>0</v>
      </c>
      <c r="E67">
        <v>0</v>
      </c>
      <c r="F67">
        <v>17.944975888190331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>
        <v>66</v>
      </c>
      <c r="B68">
        <v>0</v>
      </c>
      <c r="C68">
        <v>0</v>
      </c>
      <c r="D68">
        <v>0</v>
      </c>
      <c r="E68">
        <v>0</v>
      </c>
      <c r="F68">
        <v>8.5679043036657987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>
        <v>67</v>
      </c>
      <c r="B69">
        <v>0</v>
      </c>
      <c r="C69">
        <v>0</v>
      </c>
      <c r="D69">
        <v>0</v>
      </c>
      <c r="E69">
        <v>0</v>
      </c>
      <c r="F69">
        <v>3.756254082450182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>
        <v>68</v>
      </c>
      <c r="B70">
        <v>0</v>
      </c>
      <c r="C70">
        <v>0</v>
      </c>
      <c r="D70">
        <v>0</v>
      </c>
      <c r="E70">
        <v>0</v>
      </c>
      <c r="F70">
        <v>1.4972978543611981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>
        <v>69</v>
      </c>
      <c r="B71">
        <v>0</v>
      </c>
      <c r="C71">
        <v>0</v>
      </c>
      <c r="D71">
        <v>0</v>
      </c>
      <c r="E71">
        <v>0</v>
      </c>
      <c r="F71">
        <v>0.53674149149038464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">
      <c r="A72">
        <v>70</v>
      </c>
      <c r="B72">
        <v>0</v>
      </c>
      <c r="C72">
        <v>0</v>
      </c>
      <c r="D72">
        <v>0</v>
      </c>
      <c r="E72">
        <v>0</v>
      </c>
      <c r="F72">
        <v>0.17092529450854599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>
        <v>71</v>
      </c>
      <c r="B73">
        <v>0</v>
      </c>
      <c r="C73">
        <v>0</v>
      </c>
      <c r="D73">
        <v>0</v>
      </c>
      <c r="E73">
        <v>0</v>
      </c>
      <c r="F73">
        <v>4.7697795639233487E-2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1"/>
  <sheetViews>
    <sheetView topLeftCell="B1" workbookViewId="0">
      <selection activeCell="L12" sqref="L12"/>
    </sheetView>
  </sheetViews>
  <sheetFormatPr baseColWidth="10" defaultRowHeight="15" x14ac:dyDescent="0.2"/>
  <cols>
    <col min="1" max="1" width="12.33203125" bestFit="1" customWidth="1"/>
    <col min="2" max="2" width="10.83203125" bestFit="1" customWidth="1"/>
    <col min="3" max="3" width="12" bestFit="1" customWidth="1"/>
    <col min="4" max="4" width="13.33203125" bestFit="1" customWidth="1"/>
    <col min="5" max="5" width="8" bestFit="1" customWidth="1"/>
    <col min="6" max="6" width="15.33203125" bestFit="1" customWidth="1"/>
    <col min="12" max="12" width="15" bestFit="1" customWidth="1"/>
    <col min="18" max="18" width="83" customWidth="1"/>
  </cols>
  <sheetData>
    <row r="1" spans="1:9" ht="20" customHeight="1" x14ac:dyDescent="0.2">
      <c r="A1" s="1">
        <v>68</v>
      </c>
      <c r="B1" s="1">
        <v>110</v>
      </c>
      <c r="C1" s="1">
        <v>2026</v>
      </c>
      <c r="D1" s="1">
        <v>0</v>
      </c>
      <c r="E1" s="1">
        <v>0</v>
      </c>
    </row>
    <row r="2" spans="1:9" x14ac:dyDescent="0.2">
      <c r="A2" s="2" t="s">
        <v>39</v>
      </c>
      <c r="B2" s="2" t="s">
        <v>41</v>
      </c>
      <c r="C2" s="2" t="s">
        <v>43</v>
      </c>
      <c r="D2" s="2" t="s">
        <v>45</v>
      </c>
      <c r="E2" s="2" t="s">
        <v>47</v>
      </c>
    </row>
    <row r="4" spans="1:9" x14ac:dyDescent="0.2">
      <c r="A4" s="11" t="s">
        <v>116</v>
      </c>
      <c r="I4" s="11"/>
    </row>
    <row r="5" spans="1:9" x14ac:dyDescent="0.2">
      <c r="A5">
        <f>Calc!L6</f>
        <v>146954.86103014241</v>
      </c>
      <c r="B5">
        <v>-0.01</v>
      </c>
      <c r="C5">
        <v>0</v>
      </c>
      <c r="D5">
        <v>0.01</v>
      </c>
    </row>
    <row r="6" spans="1:9" x14ac:dyDescent="0.2">
      <c r="A6">
        <v>0</v>
      </c>
      <c r="B6" s="13">
        <f t="dataTable" ref="B6:D8" dt2D="1" dtr="1" r1="E1" r2="D1" ca="1"/>
        <v>153254.75002778243</v>
      </c>
      <c r="C6" s="13">
        <v>146954.86103014241</v>
      </c>
      <c r="D6" s="13">
        <v>141154.00064355886</v>
      </c>
    </row>
    <row r="7" spans="1:9" x14ac:dyDescent="0.2">
      <c r="A7">
        <v>0.1</v>
      </c>
      <c r="B7" s="13">
        <v>161982.32790895796</v>
      </c>
      <c r="C7" s="13">
        <v>154931.18812438092</v>
      </c>
      <c r="D7" s="13">
        <v>148463.61243926914</v>
      </c>
    </row>
    <row r="8" spans="1:9" x14ac:dyDescent="0.2">
      <c r="A8">
        <v>0.2</v>
      </c>
      <c r="B8" s="13">
        <v>172063.70044340595</v>
      </c>
      <c r="C8" s="13">
        <v>164093.68402263804</v>
      </c>
      <c r="D8" s="13">
        <v>156815.86631997814</v>
      </c>
      <c r="F8" s="11"/>
    </row>
    <row r="10" spans="1:9" x14ac:dyDescent="0.2">
      <c r="A10" s="11" t="s">
        <v>117</v>
      </c>
    </row>
    <row r="11" spans="1:9" x14ac:dyDescent="0.2">
      <c r="B11">
        <v>-0.01</v>
      </c>
      <c r="C11">
        <v>0</v>
      </c>
      <c r="D11">
        <v>0.01</v>
      </c>
    </row>
    <row r="12" spans="1:9" x14ac:dyDescent="0.2">
      <c r="A12">
        <v>0</v>
      </c>
      <c r="B12" s="12">
        <f>B6/$C$6 -1</f>
        <v>4.2869551598894162E-2</v>
      </c>
      <c r="C12" s="12">
        <f>Calc!L6/C6-1</f>
        <v>0</v>
      </c>
      <c r="D12" s="12">
        <f>D6/$C$6 - 1</f>
        <v>-3.9473756403292537E-2</v>
      </c>
    </row>
    <row r="13" spans="1:9" x14ac:dyDescent="0.2">
      <c r="A13">
        <v>0.1</v>
      </c>
      <c r="B13" s="12">
        <f>B7/$C$6 -1</f>
        <v>0.10225906631107096</v>
      </c>
      <c r="C13" s="12">
        <f>C7/$C$6 -1</f>
        <v>5.4277395373824699E-2</v>
      </c>
      <c r="D13" s="12">
        <f>D7/$C$6 - 1</f>
        <v>1.0266767622047368E-2</v>
      </c>
    </row>
    <row r="14" spans="1:9" x14ac:dyDescent="0.2">
      <c r="A14">
        <v>0.2</v>
      </c>
      <c r="B14" s="12">
        <f>B8/$C$6 -1</f>
        <v>0.17086089726636122</v>
      </c>
      <c r="C14" s="12">
        <f>C8/$C$6 -1</f>
        <v>0.1166264448304315</v>
      </c>
      <c r="D14" s="12">
        <f>D8/$C$6 - 1</f>
        <v>6.7102273587350769E-2</v>
      </c>
      <c r="F14" s="11"/>
    </row>
    <row r="17" spans="6:18" ht="16" customHeight="1" thickBot="1" x14ac:dyDescent="0.25"/>
    <row r="18" spans="6:18" ht="16" customHeight="1" thickBot="1" x14ac:dyDescent="0.25">
      <c r="G18" s="30" t="s">
        <v>118</v>
      </c>
      <c r="M18" s="30" t="s">
        <v>119</v>
      </c>
      <c r="R18" s="14"/>
    </row>
    <row r="19" spans="6:18" x14ac:dyDescent="0.2">
      <c r="F19" s="16"/>
      <c r="G19" s="17"/>
      <c r="H19" s="17"/>
      <c r="I19" s="18" t="s">
        <v>120</v>
      </c>
      <c r="J19" s="19"/>
      <c r="L19" s="16"/>
      <c r="M19" s="17"/>
      <c r="N19" s="17"/>
      <c r="O19" s="18" t="s">
        <v>120</v>
      </c>
      <c r="P19" s="19"/>
    </row>
    <row r="20" spans="6:18" x14ac:dyDescent="0.2">
      <c r="F20" s="20"/>
      <c r="H20" s="12">
        <v>-0.01</v>
      </c>
      <c r="I20" s="12">
        <v>0</v>
      </c>
      <c r="J20" s="21">
        <v>0.01</v>
      </c>
      <c r="L20" s="20"/>
      <c r="N20" s="12">
        <v>-0.01</v>
      </c>
      <c r="O20" s="12">
        <v>0</v>
      </c>
      <c r="P20" s="21">
        <v>0.01</v>
      </c>
    </row>
    <row r="21" spans="6:18" x14ac:dyDescent="0.2">
      <c r="F21" s="20"/>
      <c r="G21" s="12">
        <v>0</v>
      </c>
      <c r="H21" s="82">
        <v>153254.75002778243</v>
      </c>
      <c r="I21" s="82">
        <v>146954.86103014241</v>
      </c>
      <c r="J21" s="83">
        <v>141154.00064355886</v>
      </c>
      <c r="L21" s="20"/>
      <c r="M21" s="12">
        <v>0</v>
      </c>
      <c r="N21" s="82">
        <v>236312.7813003812</v>
      </c>
      <c r="O21" s="82">
        <v>184056.4928336317</v>
      </c>
      <c r="P21" s="83">
        <v>144406.14007803355</v>
      </c>
    </row>
    <row r="22" spans="6:18" x14ac:dyDescent="0.2">
      <c r="F22" s="22" t="s">
        <v>121</v>
      </c>
      <c r="G22" s="12">
        <v>0.1</v>
      </c>
      <c r="H22" s="82">
        <v>161982.32790895796</v>
      </c>
      <c r="I22" s="82">
        <v>154931.18812438092</v>
      </c>
      <c r="J22" s="83">
        <v>148463.61243926914</v>
      </c>
      <c r="L22" s="22" t="s">
        <v>121</v>
      </c>
      <c r="M22" s="12">
        <v>0.1</v>
      </c>
      <c r="N22" s="82">
        <v>244588.63910471715</v>
      </c>
      <c r="O22" s="82">
        <v>190013.40457859234</v>
      </c>
      <c r="P22" s="83">
        <v>148737.803945441</v>
      </c>
    </row>
    <row r="23" spans="6:18" x14ac:dyDescent="0.2">
      <c r="F23" s="20"/>
      <c r="G23" s="12">
        <v>0.2</v>
      </c>
      <c r="H23" s="82">
        <v>172063.70044340595</v>
      </c>
      <c r="I23" s="82">
        <v>164093.68402263804</v>
      </c>
      <c r="J23" s="83">
        <v>156815.86631997814</v>
      </c>
      <c r="L23" s="20"/>
      <c r="M23" s="12">
        <v>0.2</v>
      </c>
      <c r="N23" s="82">
        <v>253712.96278105021</v>
      </c>
      <c r="O23" s="82">
        <v>196532.43122552591</v>
      </c>
      <c r="P23" s="83">
        <v>153445.0427293728</v>
      </c>
    </row>
    <row r="24" spans="6:18" x14ac:dyDescent="0.2">
      <c r="F24" s="20"/>
      <c r="J24" s="23"/>
      <c r="L24" s="20"/>
      <c r="P24" s="23"/>
    </row>
    <row r="25" spans="6:18" x14ac:dyDescent="0.2">
      <c r="F25" s="20"/>
      <c r="I25" s="11" t="s">
        <v>120</v>
      </c>
      <c r="J25" s="23"/>
      <c r="L25" s="20"/>
      <c r="O25" s="11" t="s">
        <v>120</v>
      </c>
      <c r="P25" s="23"/>
    </row>
    <row r="26" spans="6:18" x14ac:dyDescent="0.2">
      <c r="F26" s="20"/>
      <c r="H26" s="12">
        <v>-0.01</v>
      </c>
      <c r="I26" s="12">
        <v>0</v>
      </c>
      <c r="J26" s="21">
        <v>0.01</v>
      </c>
      <c r="L26" s="20"/>
      <c r="N26" s="12">
        <v>-0.01</v>
      </c>
      <c r="O26" s="12">
        <v>0</v>
      </c>
      <c r="P26" s="21">
        <v>0.01</v>
      </c>
    </row>
    <row r="27" spans="6:18" x14ac:dyDescent="0.2">
      <c r="F27" s="20"/>
      <c r="G27" s="12">
        <v>0</v>
      </c>
      <c r="H27" s="24">
        <v>4.2869551598894162E-2</v>
      </c>
      <c r="I27" s="24">
        <v>0</v>
      </c>
      <c r="J27" s="25">
        <v>-3.9473756403292537E-2</v>
      </c>
      <c r="L27" s="20"/>
      <c r="M27" s="12">
        <v>0</v>
      </c>
      <c r="N27" s="24">
        <v>0.28391439857535405</v>
      </c>
      <c r="O27" s="24">
        <v>0</v>
      </c>
      <c r="P27" s="25">
        <v>-0.21542490647932766</v>
      </c>
    </row>
    <row r="28" spans="6:18" x14ac:dyDescent="0.2">
      <c r="F28" s="22" t="s">
        <v>121</v>
      </c>
      <c r="G28" s="12">
        <v>0.1</v>
      </c>
      <c r="H28" s="24">
        <v>0.10225906631107096</v>
      </c>
      <c r="I28" s="24">
        <v>5.4277395373824699E-2</v>
      </c>
      <c r="J28" s="25">
        <v>1.0266767622047368E-2</v>
      </c>
      <c r="L28" s="22" t="s">
        <v>121</v>
      </c>
      <c r="M28" s="12">
        <v>0.1</v>
      </c>
      <c r="N28" s="24">
        <v>0.32887808161052123</v>
      </c>
      <c r="O28" s="24">
        <v>3.2364583575680062E-2</v>
      </c>
      <c r="P28" s="25">
        <v>-0.19189048071297976</v>
      </c>
    </row>
    <row r="29" spans="6:18" ht="16" customHeight="1" thickBot="1" x14ac:dyDescent="0.25">
      <c r="F29" s="26"/>
      <c r="G29" s="27">
        <v>0.2</v>
      </c>
      <c r="H29" s="28">
        <v>0.17086089726636122</v>
      </c>
      <c r="I29" s="28">
        <v>0.1166264448304315</v>
      </c>
      <c r="J29" s="29">
        <v>6.7102273587350769E-2</v>
      </c>
      <c r="L29" s="26"/>
      <c r="M29" s="27">
        <v>0.2</v>
      </c>
      <c r="N29" s="28">
        <v>0.37845157687743658</v>
      </c>
      <c r="O29" s="28">
        <v>6.778320177583308E-2</v>
      </c>
      <c r="P29" s="29">
        <v>-0.16631551342189554</v>
      </c>
    </row>
    <row r="30" spans="6:18" ht="16" customHeight="1" thickBot="1" x14ac:dyDescent="0.25"/>
    <row r="31" spans="6:18" ht="109" customHeight="1" thickBot="1" x14ac:dyDescent="0.25">
      <c r="R31" s="15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7"/>
  <sheetViews>
    <sheetView workbookViewId="0">
      <selection activeCell="C2" sqref="C2"/>
    </sheetView>
  </sheetViews>
  <sheetFormatPr baseColWidth="10" defaultRowHeight="15" x14ac:dyDescent="0.2"/>
  <cols>
    <col min="1" max="1" width="11.5" bestFit="1" customWidth="1"/>
    <col min="9" max="9" width="11.6640625" bestFit="1" customWidth="1"/>
  </cols>
  <sheetData>
    <row r="1" spans="1:12" x14ac:dyDescent="0.2">
      <c r="A1" s="5" t="s">
        <v>95</v>
      </c>
      <c r="B1" s="3">
        <f>Reconciliation!B1</f>
        <v>77945</v>
      </c>
    </row>
    <row r="2" spans="1:12" x14ac:dyDescent="0.2">
      <c r="A2" s="6" t="s">
        <v>96</v>
      </c>
      <c r="B2" s="4" t="str">
        <f>_xlfn.XLOOKUP(B1, Participants!A:A, Participants!B:B)</f>
        <v>Male</v>
      </c>
    </row>
    <row r="3" spans="1:12" x14ac:dyDescent="0.2">
      <c r="A3" s="6" t="s">
        <v>122</v>
      </c>
      <c r="B3" s="4">
        <f>_xlfn.XLOOKUP(B1,Participants!A:A,Participants!C:C)</f>
        <v>82</v>
      </c>
    </row>
    <row r="4" spans="1:12" x14ac:dyDescent="0.2">
      <c r="A4" s="6" t="s">
        <v>123</v>
      </c>
      <c r="B4" s="4">
        <f>_xlfn.XLOOKUP(B1,Participants!A:A,Participants!D:D)</f>
        <v>21911.59</v>
      </c>
    </row>
    <row r="5" spans="1:12" x14ac:dyDescent="0.2">
      <c r="A5" s="6" t="s">
        <v>124</v>
      </c>
      <c r="B5" s="4">
        <f>_xlfn.XLOOKUP(B1,Participants!A:A,Participants!E:E)</f>
        <v>146954.86103014249</v>
      </c>
    </row>
    <row r="6" spans="1:12" x14ac:dyDescent="0.2">
      <c r="A6" s="7" t="s">
        <v>114</v>
      </c>
      <c r="B6" t="s">
        <v>122</v>
      </c>
      <c r="C6" t="s">
        <v>125</v>
      </c>
      <c r="D6" t="s">
        <v>54</v>
      </c>
      <c r="E6" t="s">
        <v>126</v>
      </c>
      <c r="F6" t="s">
        <v>127</v>
      </c>
      <c r="G6" t="s">
        <v>115</v>
      </c>
      <c r="H6" t="s">
        <v>128</v>
      </c>
      <c r="I6" t="s">
        <v>129</v>
      </c>
      <c r="K6" t="s">
        <v>130</v>
      </c>
      <c r="L6">
        <f>SUM(H7:H87)</f>
        <v>146954.86103014241</v>
      </c>
    </row>
    <row r="7" spans="1:12" x14ac:dyDescent="0.2">
      <c r="A7">
        <v>0</v>
      </c>
      <c r="B7">
        <f>B3</f>
        <v>82</v>
      </c>
      <c r="C7">
        <f t="array" ref="C7">IF(B7&gt;=MaxAge, 1, INDEX(q_paths!$B$2:$K$82, A7+1, MATCH($B$1, q_paths!$B$1:$K$1, 0)) * (1-LongevityShock))</f>
        <v>6.6325500049367325E-2</v>
      </c>
      <c r="D7">
        <v>1</v>
      </c>
      <c r="E7">
        <f t="shared" ref="E7:E38" si="0">IF(B7&gt;=RetirementAge, 1, 0)</f>
        <v>1</v>
      </c>
      <c r="F7">
        <f t="shared" ref="F7:F38" si="1">$B$4*D7*E7</f>
        <v>21911.59</v>
      </c>
      <c r="G7">
        <f t="array" ref="G7">IF(A7=0, 1, (INDEX(Discount!$B$2:$B$82, A7+1)^(-1/A7) + RateShift)^(-A7))</f>
        <v>1</v>
      </c>
      <c r="H7">
        <f t="shared" ref="H7:H38" si="2">F7*G7</f>
        <v>21911.59</v>
      </c>
      <c r="I7" s="8">
        <f t="array" ref="I7">INDEX(CF_python!$B$2:$K$82, A7+1, MATCH($B$1, CF_python!$B$1:$K$1, 0)) - F7</f>
        <v>0</v>
      </c>
      <c r="K7" t="s">
        <v>62</v>
      </c>
      <c r="L7">
        <f>SUMPRODUCT(A7:A87,H7:H87) / SUM(H7:H87)</f>
        <v>4.2558191742717808</v>
      </c>
    </row>
    <row r="8" spans="1:12" x14ac:dyDescent="0.2">
      <c r="A8">
        <f t="shared" ref="A8:A39" si="3">A7+1</f>
        <v>1</v>
      </c>
      <c r="B8">
        <f t="shared" ref="B8:B39" si="4">B7+1</f>
        <v>83</v>
      </c>
      <c r="C8">
        <f t="array" ref="C8">IF(B8&gt;=MaxAge, 1, INDEX(q_paths!$B$2:$K$82, A8+1, MATCH($B$1, q_paths!$B$1:$K$1, 0)) * (1-LongevityShock))</f>
        <v>7.3527058637743115E-2</v>
      </c>
      <c r="D8">
        <f t="shared" ref="D8:D39" si="5">D7*(1-C7)</f>
        <v>0.93367449995063267</v>
      </c>
      <c r="E8">
        <f t="shared" si="0"/>
        <v>1</v>
      </c>
      <c r="F8">
        <f t="shared" si="1"/>
        <v>20458.292836373283</v>
      </c>
      <c r="G8">
        <f t="array" ref="G8">IF(A8=0, 1, (INDEX(Discount!$B$2:$B$82, A8+1)^(-1/A8) + RateShift)^(-A8))</f>
        <v>0.96832605474915512</v>
      </c>
      <c r="H8">
        <f t="shared" si="2"/>
        <v>19810.297989148243</v>
      </c>
      <c r="I8">
        <f t="array" ref="I8">INDEX(CF_python!$B$2:$K$82, A8+1, MATCH($B$1, CF_python!$B$1:$K$1, 0)) - F8</f>
        <v>0</v>
      </c>
      <c r="K8" t="s">
        <v>131</v>
      </c>
      <c r="L8">
        <f>L6-B5</f>
        <v>0</v>
      </c>
    </row>
    <row r="9" spans="1:12" x14ac:dyDescent="0.2">
      <c r="A9">
        <f t="shared" si="3"/>
        <v>2</v>
      </c>
      <c r="B9">
        <f t="shared" si="4"/>
        <v>84</v>
      </c>
      <c r="C9">
        <f t="array" ref="C9">IF(B9&gt;=MaxAge, 1, INDEX(q_paths!$B$2:$K$82, A9+1, MATCH($B$1, q_paths!$B$1:$K$1, 0)) * (1-LongevityShock))</f>
        <v>8.2140908450308747E-2</v>
      </c>
      <c r="D9">
        <f t="shared" si="5"/>
        <v>0.86502416024419704</v>
      </c>
      <c r="E9">
        <f t="shared" si="0"/>
        <v>1</v>
      </c>
      <c r="F9">
        <f t="shared" si="1"/>
        <v>18954.054739365147</v>
      </c>
      <c r="G9">
        <f t="array" ref="G9">IF(A9=0, 1, (INDEX(Discount!$B$2:$B$82, A9+1)^(-1/A9) + RateShift)^(-A9))</f>
        <v>0.93461204402328812</v>
      </c>
      <c r="H9">
        <f t="shared" si="2"/>
        <v>17714.68784248735</v>
      </c>
      <c r="I9">
        <f t="array" ref="I9">INDEX(CF_python!$B$2:$K$82, A9+1, MATCH($B$1, CF_python!$B$1:$K$1, 0)) - F9</f>
        <v>0</v>
      </c>
      <c r="K9" t="s">
        <v>132</v>
      </c>
      <c r="L9" t="str">
        <f>IF(ABS(L8)&lt;1, "OK", "CHECK")</f>
        <v>OK</v>
      </c>
    </row>
    <row r="10" spans="1:12" x14ac:dyDescent="0.2">
      <c r="A10">
        <f t="shared" si="3"/>
        <v>3</v>
      </c>
      <c r="B10">
        <f t="shared" si="4"/>
        <v>85</v>
      </c>
      <c r="C10">
        <f t="array" ref="C10">IF(B10&gt;=MaxAge, 1, INDEX(q_paths!$B$2:$K$82, A10+1, MATCH($B$1, q_paths!$B$1:$K$1, 0)) * (1-LongevityShock))</f>
        <v>9.356056473917751E-2</v>
      </c>
      <c r="D10">
        <f t="shared" si="5"/>
        <v>0.7939702898902733</v>
      </c>
      <c r="E10">
        <f t="shared" si="0"/>
        <v>1</v>
      </c>
      <c r="F10">
        <f t="shared" si="1"/>
        <v>17397.151464256815</v>
      </c>
      <c r="G10">
        <f t="array" ref="G10">IF(A10=0, 1, (INDEX(Discount!$B$2:$B$82, A10+1)^(-1/A10) + RateShift)^(-A10))</f>
        <v>0.90272745855820169</v>
      </c>
      <c r="H10">
        <f t="shared" si="2"/>
        <v>15704.886327480652</v>
      </c>
      <c r="I10">
        <f t="array" ref="I10">INDEX(CF_python!$B$2:$K$82, A10+1, MATCH($B$1, CF_python!$B$1:$K$1, 0)) - F10</f>
        <v>0</v>
      </c>
      <c r="K10" t="s">
        <v>133</v>
      </c>
      <c r="L10">
        <f t="array" ref="L10">MAX(ABS(I7:I87))</f>
        <v>0</v>
      </c>
    </row>
    <row r="11" spans="1:12" x14ac:dyDescent="0.2">
      <c r="A11">
        <f t="shared" si="3"/>
        <v>4</v>
      </c>
      <c r="B11">
        <f t="shared" si="4"/>
        <v>86</v>
      </c>
      <c r="C11">
        <f t="array" ref="C11">IF(B11&gt;=MaxAge, 1, INDEX(q_paths!$B$2:$K$82, A11+1, MATCH($B$1, q_paths!$B$1:$K$1, 0)) * (1-LongevityShock))</f>
        <v>0.1052100594935486</v>
      </c>
      <c r="D11">
        <f t="shared" si="5"/>
        <v>0.71968598118201088</v>
      </c>
      <c r="E11">
        <f t="shared" si="0"/>
        <v>1</v>
      </c>
      <c r="F11">
        <f t="shared" si="1"/>
        <v>15769.464148407938</v>
      </c>
      <c r="G11">
        <f t="array" ref="G11">IF(A11=0, 1, (INDEX(Discount!$B$2:$B$82, A11+1)^(-1/A11) + RateShift)^(-A11))</f>
        <v>0.87204871204462464</v>
      </c>
      <c r="H11">
        <f t="shared" si="2"/>
        <v>13751.740900253026</v>
      </c>
      <c r="I11">
        <f t="array" ref="I11">INDEX(CF_python!$B$2:$K$82, A11+1, MATCH($B$1, CF_python!$B$1:$K$1, 0)) - F11</f>
        <v>0</v>
      </c>
    </row>
    <row r="12" spans="1:12" x14ac:dyDescent="0.2">
      <c r="A12">
        <f t="shared" si="3"/>
        <v>5</v>
      </c>
      <c r="B12">
        <f t="shared" si="4"/>
        <v>87</v>
      </c>
      <c r="C12">
        <f t="array" ref="C12">IF(B12&gt;=MaxAge, 1, INDEX(q_paths!$B$2:$K$82, A12+1, MATCH($B$1, q_paths!$B$1:$K$1, 0)) * (1-LongevityShock))</f>
        <v>0.11851360200650329</v>
      </c>
      <c r="D12">
        <f t="shared" si="5"/>
        <v>0.64396777628517865</v>
      </c>
      <c r="E12">
        <f t="shared" si="0"/>
        <v>1</v>
      </c>
      <c r="F12">
        <f t="shared" si="1"/>
        <v>14110.357887172559</v>
      </c>
      <c r="G12">
        <f t="array" ref="G12">IF(A12=0, 1, (INDEX(Discount!$B$2:$B$82, A12+1)^(-1/A12) + RateShift)^(-A12))</f>
        <v>0.84246143706509558</v>
      </c>
      <c r="H12">
        <f t="shared" si="2"/>
        <v>11887.432383130199</v>
      </c>
      <c r="I12">
        <f t="array" ref="I12">INDEX(CF_python!$B$2:$K$82, A12+1, MATCH($B$1, CF_python!$B$1:$K$1, 0)) - F12</f>
        <v>0</v>
      </c>
    </row>
    <row r="13" spans="1:12" x14ac:dyDescent="0.2">
      <c r="A13">
        <f t="shared" si="3"/>
        <v>6</v>
      </c>
      <c r="B13">
        <f t="shared" si="4"/>
        <v>88</v>
      </c>
      <c r="C13">
        <f t="array" ref="C13">IF(B13&gt;=MaxAge, 1, INDEX(q_paths!$B$2:$K$82, A13+1, MATCH($B$1, q_paths!$B$1:$K$1, 0)) * (1-LongevityShock))</f>
        <v>0.13482358602457359</v>
      </c>
      <c r="D13">
        <f t="shared" si="5"/>
        <v>0.56764883554150403</v>
      </c>
      <c r="E13">
        <f t="shared" si="0"/>
        <v>1</v>
      </c>
      <c r="F13">
        <f t="shared" si="1"/>
        <v>12438.088548362864</v>
      </c>
      <c r="G13">
        <f t="array" ref="G13">IF(A13=0, 1, (INDEX(Discount!$B$2:$B$82, A13+1)^(-1/A13) + RateShift)^(-A13))</f>
        <v>0.8136421370346637</v>
      </c>
      <c r="H13">
        <f t="shared" si="2"/>
        <v>10120.152947116339</v>
      </c>
      <c r="I13">
        <f t="array" ref="I13">INDEX(CF_python!$B$2:$K$82, A13+1, MATCH($B$1, CF_python!$B$1:$K$1, 0)) - F13</f>
        <v>0</v>
      </c>
    </row>
    <row r="14" spans="1:12" x14ac:dyDescent="0.2">
      <c r="A14">
        <f t="shared" si="3"/>
        <v>7</v>
      </c>
      <c r="B14">
        <f t="shared" si="4"/>
        <v>89</v>
      </c>
      <c r="C14">
        <f t="array" ref="C14">IF(B14&gt;=MaxAge, 1, INDEX(q_paths!$B$2:$K$82, A14+1, MATCH($B$1, q_paths!$B$1:$K$1, 0)) * (1-LongevityShock))</f>
        <v>0.15046157608870489</v>
      </c>
      <c r="D14">
        <f t="shared" si="5"/>
        <v>0.49111638393112506</v>
      </c>
      <c r="E14">
        <f t="shared" si="0"/>
        <v>1</v>
      </c>
      <c r="F14">
        <f t="shared" si="1"/>
        <v>10761.140846981401</v>
      </c>
      <c r="G14">
        <f t="array" ref="G14">IF(A14=0, 1, (INDEX(Discount!$B$2:$B$82, A14+1)^(-1/A14) + RateShift)^(-A14))</f>
        <v>0.7853533507140541</v>
      </c>
      <c r="H14">
        <f t="shared" si="2"/>
        <v>8451.2980216827182</v>
      </c>
      <c r="I14">
        <f t="array" ref="I14">INDEX(CF_python!$B$2:$K$82, A14+1, MATCH($B$1, CF_python!$B$1:$K$1, 0)) - F14</f>
        <v>0</v>
      </c>
    </row>
    <row r="15" spans="1:12" x14ac:dyDescent="0.2">
      <c r="A15">
        <f t="shared" si="3"/>
        <v>8</v>
      </c>
      <c r="B15">
        <f t="shared" si="4"/>
        <v>90</v>
      </c>
      <c r="C15">
        <f t="array" ref="C15">IF(B15&gt;=MaxAge, 1, INDEX(q_paths!$B$2:$K$82, A15+1, MATCH($B$1, q_paths!$B$1:$K$1, 0)) * (1-LongevityShock))</f>
        <v>0.17141003207283029</v>
      </c>
      <c r="D15">
        <f t="shared" si="5"/>
        <v>0.41722223876186249</v>
      </c>
      <c r="E15">
        <f t="shared" si="0"/>
        <v>1</v>
      </c>
      <c r="F15">
        <f t="shared" si="1"/>
        <v>9142.0026346320392</v>
      </c>
      <c r="G15">
        <f t="array" ref="G15">IF(A15=0, 1, (INDEX(Discount!$B$2:$B$82, A15+1)^(-1/A15) + RateShift)^(-A15))</f>
        <v>0.75753581559473138</v>
      </c>
      <c r="H15">
        <f t="shared" si="2"/>
        <v>6925.3944219951645</v>
      </c>
      <c r="I15">
        <f t="array" ref="I15">INDEX(CF_python!$B$2:$K$82, A15+1, MATCH($B$1, CF_python!$B$1:$K$1, 0)) - F15</f>
        <v>0</v>
      </c>
    </row>
    <row r="16" spans="1:12" x14ac:dyDescent="0.2">
      <c r="A16">
        <f t="shared" si="3"/>
        <v>9</v>
      </c>
      <c r="B16">
        <f t="shared" si="4"/>
        <v>91</v>
      </c>
      <c r="C16">
        <f t="array" ref="C16">IF(B16&gt;=MaxAge, 1, INDEX(q_paths!$B$2:$K$82, A16+1, MATCH($B$1, q_paths!$B$1:$K$1, 0)) * (1-LongevityShock))</f>
        <v>0.1874809503187487</v>
      </c>
      <c r="D16">
        <f t="shared" si="5"/>
        <v>0.34570616143419358</v>
      </c>
      <c r="E16">
        <f t="shared" si="0"/>
        <v>1</v>
      </c>
      <c r="F16">
        <f t="shared" si="1"/>
        <v>7574.9716698198617</v>
      </c>
      <c r="G16">
        <f t="array" ref="G16">IF(A16=0, 1, (INDEX(Discount!$B$2:$B$82, A16+1)^(-1/A16) + RateShift)^(-A16))</f>
        <v>0.73035807127294095</v>
      </c>
      <c r="H16">
        <f t="shared" si="2"/>
        <v>5532.4416987168033</v>
      </c>
      <c r="I16">
        <f t="array" ref="I16">INDEX(CF_python!$B$2:$K$82, A16+1, MATCH($B$1, CF_python!$B$1:$K$1, 0)) - F16</f>
        <v>0</v>
      </c>
    </row>
    <row r="17" spans="1:9" x14ac:dyDescent="0.2">
      <c r="A17">
        <f t="shared" si="3"/>
        <v>10</v>
      </c>
      <c r="B17">
        <f t="shared" si="4"/>
        <v>92</v>
      </c>
      <c r="C17">
        <f t="array" ref="C17">IF(B17&gt;=MaxAge, 1, INDEX(q_paths!$B$2:$K$82, A17+1, MATCH($B$1, q_paths!$B$1:$K$1, 0)) * (1-LongevityShock))</f>
        <v>0.20965388319559611</v>
      </c>
      <c r="D17">
        <f t="shared" si="5"/>
        <v>0.28089284175746421</v>
      </c>
      <c r="E17">
        <f t="shared" si="0"/>
        <v>1</v>
      </c>
      <c r="F17">
        <f t="shared" si="1"/>
        <v>6154.8087825244356</v>
      </c>
      <c r="G17">
        <f t="array" ref="G17">IF(A17=0, 1, (INDEX(Discount!$B$2:$B$82, A17+1)^(-1/A17) + RateShift)^(-A17))</f>
        <v>0.70366624807147338</v>
      </c>
      <c r="H17">
        <f t="shared" si="2"/>
        <v>4330.9312035963221</v>
      </c>
      <c r="I17">
        <f t="array" ref="I17">INDEX(CF_python!$B$2:$K$82, A17+1, MATCH($B$1, CF_python!$B$1:$K$1, 0)) - F17</f>
        <v>0</v>
      </c>
    </row>
    <row r="18" spans="1:9" x14ac:dyDescent="0.2">
      <c r="A18">
        <f t="shared" si="3"/>
        <v>11</v>
      </c>
      <c r="B18">
        <f t="shared" si="4"/>
        <v>93</v>
      </c>
      <c r="C18">
        <f t="array" ref="C18">IF(B18&gt;=MaxAge, 1, INDEX(q_paths!$B$2:$K$82, A18+1, MATCH($B$1, q_paths!$B$1:$K$1, 0)) * (1-LongevityShock))</f>
        <v>0.2374688201014169</v>
      </c>
      <c r="D18">
        <f t="shared" si="5"/>
        <v>0.22200256672116575</v>
      </c>
      <c r="E18">
        <f t="shared" si="0"/>
        <v>1</v>
      </c>
      <c r="F18">
        <f t="shared" si="1"/>
        <v>4864.4292209418281</v>
      </c>
      <c r="G18">
        <f t="array" ref="G18">IF(A18=0, 1, (INDEX(Discount!$B$2:$B$82, A18+1)^(-1/A18) + RateShift)^(-A18))</f>
        <v>0.67792403182205574</v>
      </c>
      <c r="H18">
        <f t="shared" si="2"/>
        <v>3297.7134699739058</v>
      </c>
      <c r="I18">
        <f t="array" ref="I18">INDEX(CF_python!$B$2:$K$82, A18+1, MATCH($B$1, CF_python!$B$1:$K$1, 0)) - F18</f>
        <v>0</v>
      </c>
    </row>
    <row r="19" spans="1:9" x14ac:dyDescent="0.2">
      <c r="A19">
        <f t="shared" si="3"/>
        <v>12</v>
      </c>
      <c r="B19">
        <f t="shared" si="4"/>
        <v>94</v>
      </c>
      <c r="C19">
        <f t="array" ref="C19">IF(B19&gt;=MaxAge, 1, INDEX(q_paths!$B$2:$K$82, A19+1, MATCH($B$1, q_paths!$B$1:$K$1, 0)) * (1-LongevityShock))</f>
        <v>0.25349173725786622</v>
      </c>
      <c r="D19">
        <f t="shared" si="5"/>
        <v>0.16928387914240445</v>
      </c>
      <c r="E19">
        <f t="shared" si="0"/>
        <v>1</v>
      </c>
      <c r="F19">
        <f t="shared" si="1"/>
        <v>3709.2789533779178</v>
      </c>
      <c r="G19">
        <f t="array" ref="G19">IF(A19=0, 1, (INDEX(Discount!$B$2:$B$82, A19+1)^(-1/A19) + RateShift)^(-A19))</f>
        <v>0.65294729516726491</v>
      </c>
      <c r="H19">
        <f t="shared" si="2"/>
        <v>2421.9636596289747</v>
      </c>
      <c r="I19">
        <f t="array" ref="I19">INDEX(CF_python!$B$2:$K$82, A19+1, MATCH($B$1, CF_python!$B$1:$K$1, 0)) - F19</f>
        <v>0</v>
      </c>
    </row>
    <row r="20" spans="1:9" x14ac:dyDescent="0.2">
      <c r="A20">
        <f t="shared" si="3"/>
        <v>13</v>
      </c>
      <c r="B20">
        <f t="shared" si="4"/>
        <v>95</v>
      </c>
      <c r="C20">
        <f t="array" ref="C20">IF(B20&gt;=MaxAge, 1, INDEX(q_paths!$B$2:$K$82, A20+1, MATCH($B$1, q_paths!$B$1:$K$1, 0)) * (1-LongevityShock))</f>
        <v>0.28452000671613631</v>
      </c>
      <c r="D20">
        <f t="shared" si="5"/>
        <v>0.12637181452884569</v>
      </c>
      <c r="E20">
        <f t="shared" si="0"/>
        <v>1</v>
      </c>
      <c r="F20">
        <f t="shared" si="1"/>
        <v>2769.0073875121097</v>
      </c>
      <c r="G20">
        <f t="array" ref="G20">IF(A20=0, 1, (INDEX(Discount!$B$2:$B$82, A20+1)^(-1/A20) + RateShift)^(-A20))</f>
        <v>0.62905486287758361</v>
      </c>
      <c r="H20">
        <f t="shared" si="2"/>
        <v>1741.8575624584462</v>
      </c>
      <c r="I20">
        <f t="array" ref="I20">INDEX(CF_python!$B$2:$K$82, A20+1, MATCH($B$1, CF_python!$B$1:$K$1, 0)) - F20</f>
        <v>0</v>
      </c>
    </row>
    <row r="21" spans="1:9" x14ac:dyDescent="0.2">
      <c r="A21">
        <f t="shared" si="3"/>
        <v>14</v>
      </c>
      <c r="B21">
        <f t="shared" si="4"/>
        <v>96</v>
      </c>
      <c r="C21">
        <f t="array" ref="C21">IF(B21&gt;=MaxAge, 1, INDEX(q_paths!$B$2:$K$82, A21+1, MATCH($B$1, q_paths!$B$1:$K$1, 0)) * (1-LongevityShock))</f>
        <v>0.30131302546170252</v>
      </c>
      <c r="D21">
        <f t="shared" si="5"/>
        <v>9.0416505010368187E-2</v>
      </c>
      <c r="E21">
        <f t="shared" si="0"/>
        <v>1</v>
      </c>
      <c r="F21">
        <f t="shared" si="1"/>
        <v>1981.1693870201334</v>
      </c>
      <c r="G21">
        <f t="array" ref="G21">IF(A21=0, 1, (INDEX(Discount!$B$2:$B$82, A21+1)^(-1/A21) + RateShift)^(-A21))</f>
        <v>0.60628246221022208</v>
      </c>
      <c r="H21">
        <f t="shared" si="2"/>
        <v>1201.148254018083</v>
      </c>
      <c r="I21">
        <f t="array" ref="I21">INDEX(CF_python!$B$2:$K$82, A21+1, MATCH($B$1, CF_python!$B$1:$K$1, 0)) - F21</f>
        <v>0</v>
      </c>
    </row>
    <row r="22" spans="1:9" x14ac:dyDescent="0.2">
      <c r="A22">
        <f t="shared" si="3"/>
        <v>15</v>
      </c>
      <c r="B22">
        <f t="shared" si="4"/>
        <v>97</v>
      </c>
      <c r="C22">
        <f t="array" ref="C22">IF(B22&gt;=MaxAge, 1, INDEX(q_paths!$B$2:$K$82, A22+1, MATCH($B$1, q_paths!$B$1:$K$1, 0)) * (1-LongevityShock))</f>
        <v>0.32033590356452729</v>
      </c>
      <c r="D22">
        <f t="shared" si="5"/>
        <v>6.3172834334020975E-2</v>
      </c>
      <c r="E22">
        <f t="shared" si="0"/>
        <v>1</v>
      </c>
      <c r="F22">
        <f t="shared" si="1"/>
        <v>1384.2172450649907</v>
      </c>
      <c r="G22">
        <f t="array" ref="G22">IF(A22=0, 1, (INDEX(Discount!$B$2:$B$82, A22+1)^(-1/A22) + RateShift)^(-A22))</f>
        <v>0.58465594405054488</v>
      </c>
      <c r="H22">
        <f t="shared" si="2"/>
        <v>809.29084018451658</v>
      </c>
      <c r="I22">
        <f t="array" ref="I22">INDEX(CF_python!$B$2:$K$82, A22+1, MATCH($B$1, CF_python!$B$1:$K$1, 0)) - F22</f>
        <v>0</v>
      </c>
    </row>
    <row r="23" spans="1:9" x14ac:dyDescent="0.2">
      <c r="A23">
        <f t="shared" si="3"/>
        <v>16</v>
      </c>
      <c r="B23">
        <f t="shared" si="4"/>
        <v>98</v>
      </c>
      <c r="C23">
        <f t="array" ref="C23">IF(B23&gt;=MaxAge, 1, INDEX(q_paths!$B$2:$K$82, A23+1, MATCH($B$1, q_paths!$B$1:$K$1, 0)) * (1-LongevityShock))</f>
        <v>0.34621159517227812</v>
      </c>
      <c r="D23">
        <f t="shared" si="5"/>
        <v>4.2936307366900177E-2</v>
      </c>
      <c r="E23">
        <f t="shared" si="0"/>
        <v>1</v>
      </c>
      <c r="F23">
        <f t="shared" si="1"/>
        <v>940.8027631374963</v>
      </c>
      <c r="G23">
        <f t="array" ref="G23">IF(A23=0, 1, (INDEX(Discount!$B$2:$B$82, A23+1)^(-1/A23) + RateShift)^(-A23))</f>
        <v>0.56436689536105245</v>
      </c>
      <c r="H23">
        <f t="shared" si="2"/>
        <v>530.95793457900834</v>
      </c>
      <c r="I23">
        <f t="array" ref="I23">INDEX(CF_python!$B$2:$K$82, A23+1, MATCH($B$1, CF_python!$B$1:$K$1, 0)) - F23</f>
        <v>0</v>
      </c>
    </row>
    <row r="24" spans="1:9" x14ac:dyDescent="0.2">
      <c r="A24">
        <f t="shared" si="3"/>
        <v>17</v>
      </c>
      <c r="B24">
        <f t="shared" si="4"/>
        <v>99</v>
      </c>
      <c r="C24">
        <f t="array" ref="C24">IF(B24&gt;=MaxAge, 1, INDEX(q_paths!$B$2:$K$82, A24+1, MATCH($B$1, q_paths!$B$1:$K$1, 0)) * (1-LongevityShock))</f>
        <v>0.35929726286925329</v>
      </c>
      <c r="D24">
        <f t="shared" si="5"/>
        <v>2.8071259902598428E-2</v>
      </c>
      <c r="E24">
        <f t="shared" si="0"/>
        <v>1</v>
      </c>
      <c r="F24">
        <f t="shared" si="1"/>
        <v>615.08593776917667</v>
      </c>
      <c r="G24">
        <f t="array" ref="G24">IF(A24=0, 1, (INDEX(Discount!$B$2:$B$82, A24+1)^(-1/A24) + RateShift)^(-A24))</f>
        <v>0.54526050936341619</v>
      </c>
      <c r="H24">
        <f t="shared" si="2"/>
        <v>335.38207173029576</v>
      </c>
      <c r="I24">
        <f t="array" ref="I24">INDEX(CF_python!$B$2:$K$82, A24+1, MATCH($B$1, CF_python!$B$1:$K$1, 0)) - F24</f>
        <v>0</v>
      </c>
    </row>
    <row r="25" spans="1:9" x14ac:dyDescent="0.2">
      <c r="A25">
        <f t="shared" si="3"/>
        <v>18</v>
      </c>
      <c r="B25">
        <f t="shared" si="4"/>
        <v>100</v>
      </c>
      <c r="C25">
        <f t="array" ref="C25">IF(B25&gt;=MaxAge, 1, INDEX(q_paths!$B$2:$K$82, A25+1, MATCH($B$1, q_paths!$B$1:$K$1, 0)) * (1-LongevityShock))</f>
        <v>0.36544915233403408</v>
      </c>
      <c r="D25">
        <f t="shared" si="5"/>
        <v>1.7985333054303394E-2</v>
      </c>
      <c r="E25">
        <f t="shared" si="0"/>
        <v>1</v>
      </c>
      <c r="F25">
        <f t="shared" si="1"/>
        <v>394.08724389934372</v>
      </c>
      <c r="G25">
        <f t="array" ref="G25">IF(A25=0, 1, (INDEX(Discount!$B$2:$B$82, A25+1)^(-1/A25) + RateShift)^(-A25))</f>
        <v>0.52715699690036677</v>
      </c>
      <c r="H25">
        <f t="shared" si="2"/>
        <v>207.74584801072041</v>
      </c>
      <c r="I25">
        <f t="array" ref="I25">INDEX(CF_python!$B$2:$K$82, A25+1, MATCH($B$1, CF_python!$B$1:$K$1, 0)) - F25</f>
        <v>0</v>
      </c>
    </row>
    <row r="26" spans="1:9" x14ac:dyDescent="0.2">
      <c r="A26">
        <f t="shared" si="3"/>
        <v>19</v>
      </c>
      <c r="B26">
        <f t="shared" si="4"/>
        <v>101</v>
      </c>
      <c r="C26">
        <f t="array" ref="C26">IF(B26&gt;=MaxAge, 1, INDEX(q_paths!$B$2:$K$82, A26+1, MATCH($B$1, q_paths!$B$1:$K$1, 0)) * (1-LongevityShock))</f>
        <v>0.42554476500648247</v>
      </c>
      <c r="D26">
        <f t="shared" si="5"/>
        <v>1.1412608335162935E-2</v>
      </c>
      <c r="E26">
        <f t="shared" si="0"/>
        <v>1</v>
      </c>
      <c r="F26">
        <f t="shared" si="1"/>
        <v>250.06839467067283</v>
      </c>
      <c r="G26">
        <f t="array" ref="G26">IF(A26=0, 1, (INDEX(Discount!$B$2:$B$82, A26+1)^(-1/A26) + RateShift)^(-A26))</f>
        <v>0.50985635980847066</v>
      </c>
      <c r="H26">
        <f t="shared" si="2"/>
        <v>127.49896140993721</v>
      </c>
      <c r="I26">
        <f t="array" ref="I26">INDEX(CF_python!$B$2:$K$82, A26+1, MATCH($B$1, CF_python!$B$1:$K$1, 0)) - F26</f>
        <v>0</v>
      </c>
    </row>
    <row r="27" spans="1:9" x14ac:dyDescent="0.2">
      <c r="A27">
        <f t="shared" si="3"/>
        <v>20</v>
      </c>
      <c r="B27">
        <f t="shared" si="4"/>
        <v>102</v>
      </c>
      <c r="C27">
        <f t="array" ref="C27">IF(B27&gt;=MaxAge, 1, INDEX(q_paths!$B$2:$K$82, A27+1, MATCH($B$1, q_paths!$B$1:$K$1, 0)) * (1-LongevityShock))</f>
        <v>0.45741042151563122</v>
      </c>
      <c r="D27">
        <f t="shared" si="5"/>
        <v>6.5560326030649997E-3</v>
      </c>
      <c r="E27">
        <f t="shared" si="0"/>
        <v>1</v>
      </c>
      <c r="F27">
        <f t="shared" si="1"/>
        <v>143.653098424993</v>
      </c>
      <c r="G27">
        <f t="array" ref="G27">IF(A27=0, 1, (INDEX(Discount!$B$2:$B$82, A27+1)^(-1/A27) + RateShift)^(-A27))</f>
        <v>0.49323787423817622</v>
      </c>
      <c r="H27">
        <f t="shared" si="2"/>
        <v>70.85514889487105</v>
      </c>
      <c r="I27">
        <f t="array" ref="I27">INDEX(CF_python!$B$2:$K$82, A27+1, MATCH($B$1, CF_python!$B$1:$K$1, 0)) - F27</f>
        <v>0</v>
      </c>
    </row>
    <row r="28" spans="1:9" x14ac:dyDescent="0.2">
      <c r="A28">
        <f t="shared" si="3"/>
        <v>21</v>
      </c>
      <c r="B28">
        <f t="shared" si="4"/>
        <v>103</v>
      </c>
      <c r="C28">
        <f t="array" ref="C28">IF(B28&gt;=MaxAge, 1, INDEX(q_paths!$B$2:$K$82, A28+1, MATCH($B$1, q_paths!$B$1:$K$1, 0)) * (1-LongevityShock))</f>
        <v>0.49076024845684391</v>
      </c>
      <c r="D28">
        <f t="shared" si="5"/>
        <v>3.5572349666268175E-3</v>
      </c>
      <c r="E28">
        <f t="shared" si="0"/>
        <v>1</v>
      </c>
      <c r="F28">
        <f t="shared" si="1"/>
        <v>77.944674122390509</v>
      </c>
      <c r="G28">
        <f t="array" ref="G28">IF(A28=0, 1, (INDEX(Discount!$B$2:$B$82, A28+1)^(-1/A28) + RateShift)^(-A28))</f>
        <v>0.4772717423211783</v>
      </c>
      <c r="H28">
        <f t="shared" si="2"/>
        <v>37.200790423049774</v>
      </c>
      <c r="I28">
        <f t="array" ref="I28">INDEX(CF_python!$B$2:$K$82, A28+1, MATCH($B$1, CF_python!$B$1:$K$1, 0)) - F28</f>
        <v>0</v>
      </c>
    </row>
    <row r="29" spans="1:9" x14ac:dyDescent="0.2">
      <c r="A29">
        <f t="shared" si="3"/>
        <v>22</v>
      </c>
      <c r="B29">
        <f t="shared" si="4"/>
        <v>104</v>
      </c>
      <c r="C29">
        <f t="array" ref="C29">IF(B29&gt;=MaxAge, 1, INDEX(q_paths!$B$2:$K$82, A29+1, MATCH($B$1, q_paths!$B$1:$K$1, 0)) * (1-LongevityShock))</f>
        <v>0.52545236325407774</v>
      </c>
      <c r="D29">
        <f t="shared" si="5"/>
        <v>1.8114854505856678E-3</v>
      </c>
      <c r="E29">
        <f t="shared" si="0"/>
        <v>1</v>
      </c>
      <c r="F29">
        <f t="shared" si="1"/>
        <v>39.69252648419841</v>
      </c>
      <c r="G29">
        <f t="array" ref="G29">IF(A29=0, 1, (INDEX(Discount!$B$2:$B$82, A29+1)^(-1/A29) + RateShift)^(-A29))</f>
        <v>0.46173338489221211</v>
      </c>
      <c r="H29">
        <f t="shared" si="2"/>
        <v>18.327364608472706</v>
      </c>
      <c r="I29">
        <f t="array" ref="I29">INDEX(CF_python!$B$2:$K$82, A29+1, MATCH($B$1, CF_python!$B$1:$K$1, 0)) - F29</f>
        <v>0</v>
      </c>
    </row>
    <row r="30" spans="1:9" x14ac:dyDescent="0.2">
      <c r="A30">
        <f t="shared" si="3"/>
        <v>23</v>
      </c>
      <c r="B30">
        <f t="shared" si="4"/>
        <v>105</v>
      </c>
      <c r="C30">
        <f t="array" ref="C30">IF(B30&gt;=MaxAge, 1, INDEX(q_paths!$B$2:$K$82, A30+1, MATCH($B$1, q_paths!$B$1:$K$1, 0)) * (1-LongevityShock))</f>
        <v>0.56129385169728319</v>
      </c>
      <c r="D30">
        <f t="shared" si="5"/>
        <v>8.5963613957505084E-4</v>
      </c>
      <c r="E30">
        <f t="shared" si="0"/>
        <v>1</v>
      </c>
      <c r="F30">
        <f t="shared" si="1"/>
        <v>18.835994639551288</v>
      </c>
      <c r="G30">
        <f t="array" ref="G30">IF(A30=0, 1, (INDEX(Discount!$B$2:$B$82, A30+1)^(-1/A30) + RateShift)^(-A30))</f>
        <v>0.44678726041282774</v>
      </c>
      <c r="H30">
        <f t="shared" si="2"/>
        <v>8.4156824421558287</v>
      </c>
      <c r="I30">
        <f t="array" ref="I30">INDEX(CF_python!$B$2:$K$82, A30+1, MATCH($B$1, CF_python!$B$1:$K$1, 0)) - F30</f>
        <v>0</v>
      </c>
    </row>
    <row r="31" spans="1:9" x14ac:dyDescent="0.2">
      <c r="A31">
        <f t="shared" si="3"/>
        <v>24</v>
      </c>
      <c r="B31">
        <f t="shared" si="4"/>
        <v>106</v>
      </c>
      <c r="C31">
        <f t="array" ref="C31">IF(B31&gt;=MaxAge, 1, INDEX(q_paths!$B$2:$K$82, A31+1, MATCH($B$1, q_paths!$B$1:$K$1, 0)) * (1-LongevityShock))</f>
        <v>0.59803621611923874</v>
      </c>
      <c r="D31">
        <f t="shared" si="5"/>
        <v>3.7712765973478725E-4</v>
      </c>
      <c r="E31">
        <f t="shared" si="0"/>
        <v>1</v>
      </c>
      <c r="F31">
        <f t="shared" si="1"/>
        <v>8.2634666577681664</v>
      </c>
      <c r="G31">
        <f t="array" ref="G31">IF(A31=0, 1, (INDEX(Discount!$B$2:$B$82, A31+1)^(-1/A31) + RateShift)^(-A31))</f>
        <v>0.43220814299475924</v>
      </c>
      <c r="H31">
        <f t="shared" si="2"/>
        <v>3.5715375788530888</v>
      </c>
      <c r="I31">
        <f t="array" ref="I31">INDEX(CF_python!$B$2:$K$82, A31+1, MATCH($B$1, CF_python!$B$1:$K$1, 0)) - F31</f>
        <v>0</v>
      </c>
    </row>
    <row r="32" spans="1:9" x14ac:dyDescent="0.2">
      <c r="A32">
        <f t="shared" si="3"/>
        <v>25</v>
      </c>
      <c r="B32">
        <f t="shared" si="4"/>
        <v>107</v>
      </c>
      <c r="C32">
        <f t="array" ref="C32">IF(B32&gt;=MaxAge, 1, INDEX(q_paths!$B$2:$K$82, A32+1, MATCH($B$1, q_paths!$B$1:$K$1, 0)) * (1-LongevityShock))</f>
        <v>0.63537258295828503</v>
      </c>
      <c r="D32">
        <f t="shared" si="5"/>
        <v>1.5159166111309129E-4</v>
      </c>
      <c r="E32">
        <f t="shared" si="0"/>
        <v>1</v>
      </c>
      <c r="F32">
        <f t="shared" si="1"/>
        <v>3.3216143257290001</v>
      </c>
      <c r="G32">
        <f t="array" ref="G32">IF(A32=0, 1, (INDEX(Discount!$B$2:$B$82, A32+1)^(-1/A32) + RateShift)^(-A32))</f>
        <v>0.41827039267874477</v>
      </c>
      <c r="H32">
        <f t="shared" si="2"/>
        <v>1.3893329283500129</v>
      </c>
      <c r="I32">
        <f t="array" ref="I32">INDEX(CF_python!$B$2:$K$82, A32+1, MATCH($B$1, CF_python!$B$1:$K$1, 0)) - F32</f>
        <v>0</v>
      </c>
    </row>
    <row r="33" spans="1:9" x14ac:dyDescent="0.2">
      <c r="A33">
        <f t="shared" si="3"/>
        <v>26</v>
      </c>
      <c r="B33">
        <f t="shared" si="4"/>
        <v>108</v>
      </c>
      <c r="C33">
        <f t="array" ref="C33">IF(B33&gt;=MaxAge, 1, INDEX(q_paths!$B$2:$K$82, A33+1, MATCH($B$1, q_paths!$B$1:$K$1, 0)) * (1-LongevityShock))</f>
        <v>0.67293753078976559</v>
      </c>
      <c r="D33">
        <f t="shared" si="5"/>
        <v>5.5274475836729468E-5</v>
      </c>
      <c r="E33">
        <f t="shared" si="0"/>
        <v>1</v>
      </c>
      <c r="F33">
        <f t="shared" si="1"/>
        <v>1.2111516519993231</v>
      </c>
      <c r="G33">
        <f t="array" ref="G33">IF(A33=0, 1, (INDEX(Discount!$B$2:$B$82, A33+1)^(-1/A33) + RateShift)^(-A33))</f>
        <v>0.40475090008288789</v>
      </c>
      <c r="H33">
        <f t="shared" si="2"/>
        <v>0.49021472128360261</v>
      </c>
      <c r="I33">
        <f t="array" ref="I33">INDEX(CF_python!$B$2:$K$82, A33+1, MATCH($B$1, CF_python!$B$1:$K$1, 0)) - F33</f>
        <v>0</v>
      </c>
    </row>
    <row r="34" spans="1:9" x14ac:dyDescent="0.2">
      <c r="A34">
        <f t="shared" si="3"/>
        <v>27</v>
      </c>
      <c r="B34">
        <f t="shared" si="4"/>
        <v>109</v>
      </c>
      <c r="C34">
        <f t="array" ref="C34">IF(B34&gt;=MaxAge, 1, INDEX(q_paths!$B$2:$K$82, A34+1, MATCH($B$1, q_paths!$B$1:$K$1, 0)) * (1-LongevityShock))</f>
        <v>0.71031049388393686</v>
      </c>
      <c r="D34">
        <f t="shared" si="5"/>
        <v>1.8078206551462178E-5</v>
      </c>
      <c r="E34">
        <f t="shared" si="0"/>
        <v>1</v>
      </c>
      <c r="F34">
        <f t="shared" si="1"/>
        <v>0.39612224989095313</v>
      </c>
      <c r="G34">
        <f t="array" ref="G34">IF(A34=0, 1, (INDEX(Discount!$B$2:$B$82, A34+1)^(-1/A34) + RateShift)^(-A34))</f>
        <v>0.39162683468860304</v>
      </c>
      <c r="H34">
        <f t="shared" si="2"/>
        <v>0.15513210287452181</v>
      </c>
      <c r="I34">
        <f t="array" ref="I34">INDEX(CF_python!$B$2:$K$82, A34+1, MATCH($B$1, CF_python!$B$1:$K$1, 0)) - F34</f>
        <v>0</v>
      </c>
    </row>
    <row r="35" spans="1:9" x14ac:dyDescent="0.2">
      <c r="A35">
        <f t="shared" si="3"/>
        <v>28</v>
      </c>
      <c r="B35">
        <f t="shared" si="4"/>
        <v>110</v>
      </c>
      <c r="C35">
        <f t="array" ref="C35">IF(B35&gt;=MaxAge, 1, INDEX(q_paths!$B$2:$K$82, A35+1, MATCH($B$1, q_paths!$B$1:$K$1, 0)) * (1-LongevityShock))</f>
        <v>1</v>
      </c>
      <c r="D35">
        <f t="shared" si="5"/>
        <v>5.2370667273572551E-6</v>
      </c>
      <c r="E35">
        <f t="shared" si="0"/>
        <v>1</v>
      </c>
      <c r="F35">
        <f t="shared" si="1"/>
        <v>0.11475245893249396</v>
      </c>
      <c r="G35">
        <f t="array" ref="G35">IF(A35=0, 1, (INDEX(Discount!$B$2:$B$82, A35+1)^(-1/A35) + RateShift)^(-A35))</f>
        <v>0.3789796075879529</v>
      </c>
      <c r="H35">
        <f t="shared" si="2"/>
        <v>4.3488841855989238E-2</v>
      </c>
      <c r="I35">
        <f t="array" ref="I35">INDEX(CF_python!$B$2:$K$82, A35+1, MATCH($B$1, CF_python!$B$1:$K$1, 0)) - F35</f>
        <v>0</v>
      </c>
    </row>
    <row r="36" spans="1:9" x14ac:dyDescent="0.2">
      <c r="A36">
        <f t="shared" si="3"/>
        <v>29</v>
      </c>
      <c r="B36">
        <f t="shared" si="4"/>
        <v>111</v>
      </c>
      <c r="C36">
        <f t="array" ref="C36">IF(B36&gt;=MaxAge, 1, INDEX(q_paths!$B$2:$K$82, A36+1, MATCH($B$1, q_paths!$B$1:$K$1, 0)) * (1-LongevityShock))</f>
        <v>1</v>
      </c>
      <c r="D36">
        <f t="shared" si="5"/>
        <v>0</v>
      </c>
      <c r="E36">
        <f t="shared" si="0"/>
        <v>1</v>
      </c>
      <c r="F36">
        <f t="shared" si="1"/>
        <v>0</v>
      </c>
      <c r="G36">
        <f t="array" ref="G36">IF(A36=0, 1, (INDEX(Discount!$B$2:$B$82, A36+1)^(-1/A36) + RateShift)^(-A36))</f>
        <v>0.3666877178584918</v>
      </c>
      <c r="H36">
        <f t="shared" si="2"/>
        <v>0</v>
      </c>
      <c r="I36">
        <f t="array" ref="I36">INDEX(CF_python!$B$2:$K$82, A36+1, MATCH($B$1, CF_python!$B$1:$K$1, 0)) - F36</f>
        <v>0</v>
      </c>
    </row>
    <row r="37" spans="1:9" x14ac:dyDescent="0.2">
      <c r="A37">
        <f t="shared" si="3"/>
        <v>30</v>
      </c>
      <c r="B37">
        <f t="shared" si="4"/>
        <v>112</v>
      </c>
      <c r="C37">
        <f t="array" ref="C37">IF(B37&gt;=MaxAge, 1, INDEX(q_paths!$B$2:$K$82, A37+1, MATCH($B$1, q_paths!$B$1:$K$1, 0)) * (1-LongevityShock))</f>
        <v>1</v>
      </c>
      <c r="D37">
        <f t="shared" si="5"/>
        <v>0</v>
      </c>
      <c r="E37">
        <f t="shared" si="0"/>
        <v>1</v>
      </c>
      <c r="F37">
        <f t="shared" si="1"/>
        <v>0</v>
      </c>
      <c r="G37">
        <f t="array" ref="G37">IF(A37=0, 1, (INDEX(Discount!$B$2:$B$82, A37+1)^(-1/A37) + RateShift)^(-A37))</f>
        <v>0.35483566999291727</v>
      </c>
      <c r="H37">
        <f t="shared" si="2"/>
        <v>0</v>
      </c>
      <c r="I37">
        <f t="array" ref="I37">INDEX(CF_python!$B$2:$K$82, A37+1, MATCH($B$1, CF_python!$B$1:$K$1, 0)) - F37</f>
        <v>0</v>
      </c>
    </row>
    <row r="38" spans="1:9" x14ac:dyDescent="0.2">
      <c r="A38">
        <f t="shared" si="3"/>
        <v>31</v>
      </c>
      <c r="B38">
        <f t="shared" si="4"/>
        <v>113</v>
      </c>
      <c r="C38">
        <f t="array" ref="C38">IF(B38&gt;=MaxAge, 1, INDEX(q_paths!$B$2:$K$82, A38+1, MATCH($B$1, q_paths!$B$1:$K$1, 0)) * (1-LongevityShock))</f>
        <v>1</v>
      </c>
      <c r="D38">
        <f t="shared" si="5"/>
        <v>0</v>
      </c>
      <c r="E38">
        <f t="shared" si="0"/>
        <v>1</v>
      </c>
      <c r="F38">
        <f t="shared" si="1"/>
        <v>0</v>
      </c>
      <c r="G38">
        <f t="array" ref="G38">IF(A38=0, 1, (INDEX(Discount!$B$2:$B$82, A38+1)^(-1/A38) + RateShift)^(-A38))</f>
        <v>0.34340654513424923</v>
      </c>
      <c r="H38">
        <f t="shared" si="2"/>
        <v>0</v>
      </c>
      <c r="I38">
        <f t="array" ref="I38">INDEX(CF_python!$B$2:$K$82, A38+1, MATCH($B$1, CF_python!$B$1:$K$1, 0)) - F38</f>
        <v>0</v>
      </c>
    </row>
    <row r="39" spans="1:9" x14ac:dyDescent="0.2">
      <c r="A39">
        <f t="shared" si="3"/>
        <v>32</v>
      </c>
      <c r="B39">
        <f t="shared" si="4"/>
        <v>114</v>
      </c>
      <c r="C39">
        <f t="array" ref="C39">IF(B39&gt;=MaxAge, 1, INDEX(q_paths!$B$2:$K$82, A39+1, MATCH($B$1, q_paths!$B$1:$K$1, 0)) * (1-LongevityShock))</f>
        <v>1</v>
      </c>
      <c r="D39">
        <f t="shared" si="5"/>
        <v>0</v>
      </c>
      <c r="E39">
        <f t="shared" ref="E39:E70" si="6">IF(B39&gt;=RetirementAge, 1, 0)</f>
        <v>1</v>
      </c>
      <c r="F39">
        <f t="shared" ref="F39:F70" si="7">$B$4*D39*E39</f>
        <v>0</v>
      </c>
      <c r="G39">
        <f t="array" ref="G39">IF(A39=0, 1, (INDEX(Discount!$B$2:$B$82, A39+1)^(-1/A39) + RateShift)^(-A39))</f>
        <v>0.33228136709146538</v>
      </c>
      <c r="H39">
        <f t="shared" ref="H39:H70" si="8">F39*G39</f>
        <v>0</v>
      </c>
      <c r="I39">
        <f t="array" ref="I39">INDEX(CF_python!$B$2:$K$82, A39+1, MATCH($B$1, CF_python!$B$1:$K$1, 0)) - F39</f>
        <v>0</v>
      </c>
    </row>
    <row r="40" spans="1:9" x14ac:dyDescent="0.2">
      <c r="A40">
        <f t="shared" ref="A40:A71" si="9">A39+1</f>
        <v>33</v>
      </c>
      <c r="B40">
        <f t="shared" ref="B40:B71" si="10">B39+1</f>
        <v>115</v>
      </c>
      <c r="C40">
        <f t="array" ref="C40">IF(B40&gt;=MaxAge, 1, INDEX(q_paths!$B$2:$K$82, A40+1, MATCH($B$1, q_paths!$B$1:$K$1, 0)) * (1-LongevityShock))</f>
        <v>1</v>
      </c>
      <c r="D40">
        <f t="shared" ref="D40:D71" si="11">D39*(1-C39)</f>
        <v>0</v>
      </c>
      <c r="E40">
        <f t="shared" si="6"/>
        <v>1</v>
      </c>
      <c r="F40">
        <f t="shared" si="7"/>
        <v>0</v>
      </c>
      <c r="G40">
        <f t="array" ref="G40">IF(A40=0, 1, (INDEX(Discount!$B$2:$B$82, A40+1)^(-1/A40) + RateShift)^(-A40))</f>
        <v>0.32154769515392762</v>
      </c>
      <c r="H40">
        <f t="shared" si="8"/>
        <v>0</v>
      </c>
      <c r="I40">
        <f t="array" ref="I40">INDEX(CF_python!$B$2:$K$82, A40+1, MATCH($B$1, CF_python!$B$1:$K$1, 0)) - F40</f>
        <v>0</v>
      </c>
    </row>
    <row r="41" spans="1:9" x14ac:dyDescent="0.2">
      <c r="A41">
        <f t="shared" si="9"/>
        <v>34</v>
      </c>
      <c r="B41">
        <f t="shared" si="10"/>
        <v>116</v>
      </c>
      <c r="C41">
        <f t="array" ref="C41">IF(B41&gt;=MaxAge, 1, INDEX(q_paths!$B$2:$K$82, A41+1, MATCH($B$1, q_paths!$B$1:$K$1, 0)) * (1-LongevityShock))</f>
        <v>1</v>
      </c>
      <c r="D41">
        <f t="shared" si="11"/>
        <v>0</v>
      </c>
      <c r="E41">
        <f t="shared" si="6"/>
        <v>1</v>
      </c>
      <c r="F41">
        <f t="shared" si="7"/>
        <v>0</v>
      </c>
      <c r="G41">
        <f t="array" ref="G41">IF(A41=0, 1, (INDEX(Discount!$B$2:$B$82, A41+1)^(-1/A41) + RateShift)^(-A41))</f>
        <v>0.31119084244044126</v>
      </c>
      <c r="H41">
        <f t="shared" si="8"/>
        <v>0</v>
      </c>
      <c r="I41">
        <f t="array" ref="I41">INDEX(CF_python!$B$2:$K$82, A41+1, MATCH($B$1, CF_python!$B$1:$K$1, 0)) - F41</f>
        <v>0</v>
      </c>
    </row>
    <row r="42" spans="1:9" x14ac:dyDescent="0.2">
      <c r="A42">
        <f t="shared" si="9"/>
        <v>35</v>
      </c>
      <c r="B42">
        <f t="shared" si="10"/>
        <v>117</v>
      </c>
      <c r="C42">
        <f t="array" ref="C42">IF(B42&gt;=MaxAge, 1, INDEX(q_paths!$B$2:$K$82, A42+1, MATCH($B$1, q_paths!$B$1:$K$1, 0)) * (1-LongevityShock))</f>
        <v>1</v>
      </c>
      <c r="D42">
        <f t="shared" si="11"/>
        <v>0</v>
      </c>
      <c r="E42">
        <f t="shared" si="6"/>
        <v>1</v>
      </c>
      <c r="F42">
        <f t="shared" si="7"/>
        <v>0</v>
      </c>
      <c r="G42">
        <f t="array" ref="G42">IF(A42=0, 1, (INDEX(Discount!$B$2:$B$82, A42+1)^(-1/A42) + RateShift)^(-A42))</f>
        <v>0.30119670315125696</v>
      </c>
      <c r="H42">
        <f t="shared" si="8"/>
        <v>0</v>
      </c>
      <c r="I42">
        <f t="array" ref="I42">INDEX(CF_python!$B$2:$K$82, A42+1, MATCH($B$1, CF_python!$B$1:$K$1, 0)) - F42</f>
        <v>0</v>
      </c>
    </row>
    <row r="43" spans="1:9" x14ac:dyDescent="0.2">
      <c r="A43">
        <f t="shared" si="9"/>
        <v>36</v>
      </c>
      <c r="B43">
        <f t="shared" si="10"/>
        <v>118</v>
      </c>
      <c r="C43">
        <f t="array" ref="C43">IF(B43&gt;=MaxAge, 1, INDEX(q_paths!$B$2:$K$82, A43+1, MATCH($B$1, q_paths!$B$1:$K$1, 0)) * (1-LongevityShock))</f>
        <v>1</v>
      </c>
      <c r="D43">
        <f t="shared" si="11"/>
        <v>0</v>
      </c>
      <c r="E43">
        <f t="shared" si="6"/>
        <v>1</v>
      </c>
      <c r="F43">
        <f t="shared" si="7"/>
        <v>0</v>
      </c>
      <c r="G43">
        <f t="array" ref="G43">IF(A43=0, 1, (INDEX(Discount!$B$2:$B$82, A43+1)^(-1/A43) + RateShift)^(-A43))</f>
        <v>0.29145032067211435</v>
      </c>
      <c r="H43">
        <f t="shared" si="8"/>
        <v>0</v>
      </c>
      <c r="I43">
        <f t="array" ref="I43">INDEX(CF_python!$B$2:$K$82, A43+1, MATCH($B$1, CF_python!$B$1:$K$1, 0)) - F43</f>
        <v>0</v>
      </c>
    </row>
    <row r="44" spans="1:9" x14ac:dyDescent="0.2">
      <c r="A44">
        <f t="shared" si="9"/>
        <v>37</v>
      </c>
      <c r="B44">
        <f t="shared" si="10"/>
        <v>119</v>
      </c>
      <c r="C44">
        <f t="array" ref="C44">IF(B44&gt;=MaxAge, 1, INDEX(q_paths!$B$2:$K$82, A44+1, MATCH($B$1, q_paths!$B$1:$K$1, 0)) * (1-LongevityShock))</f>
        <v>1</v>
      </c>
      <c r="D44">
        <f t="shared" si="11"/>
        <v>0</v>
      </c>
      <c r="E44">
        <f t="shared" si="6"/>
        <v>1</v>
      </c>
      <c r="F44">
        <f t="shared" si="7"/>
        <v>0</v>
      </c>
      <c r="G44">
        <f t="array" ref="G44">IF(A44=0, 1, (INDEX(Discount!$B$2:$B$82, A44+1)^(-1/A44) + RateShift)^(-A44))</f>
        <v>0.28214200232055459</v>
      </c>
      <c r="H44">
        <f t="shared" si="8"/>
        <v>0</v>
      </c>
      <c r="I44">
        <f t="array" ref="I44">INDEX(CF_python!$B$2:$K$82, A44+1, MATCH($B$1, CF_python!$B$1:$K$1, 0)) - F44</f>
        <v>0</v>
      </c>
    </row>
    <row r="45" spans="1:9" x14ac:dyDescent="0.2">
      <c r="A45">
        <f t="shared" si="9"/>
        <v>38</v>
      </c>
      <c r="B45">
        <f t="shared" si="10"/>
        <v>120</v>
      </c>
      <c r="C45">
        <f t="array" ref="C45">IF(B45&gt;=MaxAge, 1, INDEX(q_paths!$B$2:$K$82, A45+1, MATCH($B$1, q_paths!$B$1:$K$1, 0)) * (1-LongevityShock))</f>
        <v>1</v>
      </c>
      <c r="D45">
        <f t="shared" si="11"/>
        <v>0</v>
      </c>
      <c r="E45">
        <f t="shared" si="6"/>
        <v>1</v>
      </c>
      <c r="F45">
        <f t="shared" si="7"/>
        <v>0</v>
      </c>
      <c r="G45">
        <f t="array" ref="G45">IF(A45=0, 1, (INDEX(Discount!$B$2:$B$82, A45+1)^(-1/A45) + RateShift)^(-A45))</f>
        <v>0.2730570960635047</v>
      </c>
      <c r="H45">
        <f t="shared" si="8"/>
        <v>0</v>
      </c>
      <c r="I45">
        <f t="array" ref="I45">INDEX(CF_python!$B$2:$K$82, A45+1, MATCH($B$1, CF_python!$B$1:$K$1, 0)) - F45</f>
        <v>0</v>
      </c>
    </row>
    <row r="46" spans="1:9" x14ac:dyDescent="0.2">
      <c r="A46">
        <f t="shared" si="9"/>
        <v>39</v>
      </c>
      <c r="B46">
        <f t="shared" si="10"/>
        <v>121</v>
      </c>
      <c r="C46">
        <f t="array" ref="C46">IF(B46&gt;=MaxAge, 1, INDEX(q_paths!$B$2:$K$82, A46+1, MATCH($B$1, q_paths!$B$1:$K$1, 0)) * (1-LongevityShock))</f>
        <v>1</v>
      </c>
      <c r="D46">
        <f t="shared" si="11"/>
        <v>0</v>
      </c>
      <c r="E46">
        <f t="shared" si="6"/>
        <v>1</v>
      </c>
      <c r="F46">
        <f t="shared" si="7"/>
        <v>0</v>
      </c>
      <c r="G46">
        <f t="array" ref="G46">IF(A46=0, 1, (INDEX(Discount!$B$2:$B$82, A46+1)^(-1/A46) + RateShift)^(-A46))</f>
        <v>0.26428516864672275</v>
      </c>
      <c r="H46">
        <f t="shared" si="8"/>
        <v>0</v>
      </c>
      <c r="I46">
        <f t="array" ref="I46">INDEX(CF_python!$B$2:$K$82, A46+1, MATCH($B$1, CF_python!$B$1:$K$1, 0)) - F46</f>
        <v>0</v>
      </c>
    </row>
    <row r="47" spans="1:9" x14ac:dyDescent="0.2">
      <c r="A47">
        <f t="shared" si="9"/>
        <v>40</v>
      </c>
      <c r="B47">
        <f t="shared" si="10"/>
        <v>122</v>
      </c>
      <c r="C47">
        <f t="array" ref="C47">IF(B47&gt;=MaxAge, 1, INDEX(q_paths!$B$2:$K$82, A47+1, MATCH($B$1, q_paths!$B$1:$K$1, 0)) * (1-LongevityShock))</f>
        <v>1</v>
      </c>
      <c r="D47">
        <f t="shared" si="11"/>
        <v>0</v>
      </c>
      <c r="E47">
        <f t="shared" si="6"/>
        <v>1</v>
      </c>
      <c r="F47">
        <f t="shared" si="7"/>
        <v>0</v>
      </c>
      <c r="G47">
        <f t="array" ref="G47">IF(A47=0, 1, (INDEX(Discount!$B$2:$B$82, A47+1)^(-1/A47) + RateShift)^(-A47))</f>
        <v>0.25571595361407601</v>
      </c>
      <c r="H47">
        <f t="shared" si="8"/>
        <v>0</v>
      </c>
      <c r="I47">
        <f t="array" ref="I47">INDEX(CF_python!$B$2:$K$82, A47+1, MATCH($B$1, CF_python!$B$1:$K$1, 0)) - F47</f>
        <v>0</v>
      </c>
    </row>
    <row r="48" spans="1:9" x14ac:dyDescent="0.2">
      <c r="A48">
        <f t="shared" si="9"/>
        <v>41</v>
      </c>
      <c r="B48">
        <f t="shared" si="10"/>
        <v>123</v>
      </c>
      <c r="C48">
        <f t="array" ref="C48">IF(B48&gt;=MaxAge, 1, INDEX(q_paths!$B$2:$K$82, A48+1, MATCH($B$1, q_paths!$B$1:$K$1, 0)) * (1-LongevityShock))</f>
        <v>1</v>
      </c>
      <c r="D48">
        <f t="shared" si="11"/>
        <v>0</v>
      </c>
      <c r="E48">
        <f t="shared" si="6"/>
        <v>1</v>
      </c>
      <c r="F48">
        <f t="shared" si="7"/>
        <v>0</v>
      </c>
      <c r="G48">
        <f t="array" ref="G48">IF(A48=0, 1, (INDEX(Discount!$B$2:$B$82, A48+1)^(-1/A48) + RateShift)^(-A48))</f>
        <v>0.24753701685188101</v>
      </c>
      <c r="H48">
        <f t="shared" si="8"/>
        <v>0</v>
      </c>
      <c r="I48">
        <f t="array" ref="I48">INDEX(CF_python!$B$2:$K$82, A48+1, MATCH($B$1, CF_python!$B$1:$K$1, 0)) - F48</f>
        <v>0</v>
      </c>
    </row>
    <row r="49" spans="1:9" x14ac:dyDescent="0.2">
      <c r="A49">
        <f t="shared" si="9"/>
        <v>42</v>
      </c>
      <c r="B49">
        <f t="shared" si="10"/>
        <v>124</v>
      </c>
      <c r="C49">
        <f t="array" ref="C49">IF(B49&gt;=MaxAge, 1, INDEX(q_paths!$B$2:$K$82, A49+1, MATCH($B$1, q_paths!$B$1:$K$1, 0)) * (1-LongevityShock))</f>
        <v>1</v>
      </c>
      <c r="D49">
        <f t="shared" si="11"/>
        <v>0</v>
      </c>
      <c r="E49">
        <f t="shared" si="6"/>
        <v>1</v>
      </c>
      <c r="F49">
        <f t="shared" si="7"/>
        <v>0</v>
      </c>
      <c r="G49">
        <f t="array" ref="G49">IF(A49=0, 1, (INDEX(Discount!$B$2:$B$82, A49+1)^(-1/A49) + RateShift)^(-A49))</f>
        <v>0.239540960261998</v>
      </c>
      <c r="H49">
        <f t="shared" si="8"/>
        <v>0</v>
      </c>
      <c r="I49">
        <f t="array" ref="I49">INDEX(CF_python!$B$2:$K$82, A49+1, MATCH($B$1, CF_python!$B$1:$K$1, 0)) - F49</f>
        <v>0</v>
      </c>
    </row>
    <row r="50" spans="1:9" x14ac:dyDescent="0.2">
      <c r="A50">
        <f t="shared" si="9"/>
        <v>43</v>
      </c>
      <c r="B50">
        <f t="shared" si="10"/>
        <v>125</v>
      </c>
      <c r="C50">
        <f t="array" ref="C50">IF(B50&gt;=MaxAge, 1, INDEX(q_paths!$B$2:$K$82, A50+1, MATCH($B$1, q_paths!$B$1:$K$1, 0)) * (1-LongevityShock))</f>
        <v>1</v>
      </c>
      <c r="D50">
        <f t="shared" si="11"/>
        <v>0</v>
      </c>
      <c r="E50">
        <f t="shared" si="6"/>
        <v>1</v>
      </c>
      <c r="F50">
        <f t="shared" si="7"/>
        <v>0</v>
      </c>
      <c r="G50">
        <f t="array" ref="G50">IF(A50=0, 1, (INDEX(Discount!$B$2:$B$82, A50+1)^(-1/A50) + RateShift)^(-A50))</f>
        <v>0.23181664754292958</v>
      </c>
      <c r="H50">
        <f t="shared" si="8"/>
        <v>0</v>
      </c>
      <c r="I50">
        <f t="array" ref="I50">INDEX(CF_python!$B$2:$K$82, A50+1, MATCH($B$1, CF_python!$B$1:$K$1, 0)) - F50</f>
        <v>0</v>
      </c>
    </row>
    <row r="51" spans="1:9" x14ac:dyDescent="0.2">
      <c r="A51">
        <f t="shared" si="9"/>
        <v>44</v>
      </c>
      <c r="B51">
        <f t="shared" si="10"/>
        <v>126</v>
      </c>
      <c r="C51">
        <f t="array" ref="C51">IF(B51&gt;=MaxAge, 1, INDEX(q_paths!$B$2:$K$82, A51+1, MATCH($B$1, q_paths!$B$1:$K$1, 0)) * (1-LongevityShock))</f>
        <v>1</v>
      </c>
      <c r="D51">
        <f t="shared" si="11"/>
        <v>0</v>
      </c>
      <c r="E51">
        <f t="shared" si="6"/>
        <v>1</v>
      </c>
      <c r="F51">
        <f t="shared" si="7"/>
        <v>0</v>
      </c>
      <c r="G51">
        <f t="array" ref="G51">IF(A51=0, 1, (INDEX(Discount!$B$2:$B$82, A51+1)^(-1/A51) + RateShift)^(-A51))</f>
        <v>0.22444987446833128</v>
      </c>
      <c r="H51">
        <f t="shared" si="8"/>
        <v>0</v>
      </c>
      <c r="I51">
        <f t="array" ref="I51">INDEX(CF_python!$B$2:$K$82, A51+1, MATCH($B$1, CF_python!$B$1:$K$1, 0)) - F51</f>
        <v>0</v>
      </c>
    </row>
    <row r="52" spans="1:9" x14ac:dyDescent="0.2">
      <c r="A52">
        <f t="shared" si="9"/>
        <v>45</v>
      </c>
      <c r="B52">
        <f t="shared" si="10"/>
        <v>127</v>
      </c>
      <c r="C52">
        <f t="array" ref="C52">IF(B52&gt;=MaxAge, 1, INDEX(q_paths!$B$2:$K$82, A52+1, MATCH($B$1, q_paths!$B$1:$K$1, 0)) * (1-LongevityShock))</f>
        <v>1</v>
      </c>
      <c r="D52">
        <f t="shared" si="11"/>
        <v>0</v>
      </c>
      <c r="E52">
        <f t="shared" si="6"/>
        <v>1</v>
      </c>
      <c r="F52">
        <f t="shared" si="7"/>
        <v>0</v>
      </c>
      <c r="G52">
        <f t="array" ref="G52">IF(A52=0, 1, (INDEX(Discount!$B$2:$B$82, A52+1)^(-1/A52) + RateShift)^(-A52))</f>
        <v>0.21723950817181537</v>
      </c>
      <c r="H52">
        <f t="shared" si="8"/>
        <v>0</v>
      </c>
      <c r="I52">
        <f t="array" ref="I52">INDEX(CF_python!$B$2:$K$82, A52+1, MATCH($B$1, CF_python!$B$1:$K$1, 0)) - F52</f>
        <v>0</v>
      </c>
    </row>
    <row r="53" spans="1:9" x14ac:dyDescent="0.2">
      <c r="A53">
        <f t="shared" si="9"/>
        <v>46</v>
      </c>
      <c r="B53">
        <f t="shared" si="10"/>
        <v>128</v>
      </c>
      <c r="C53">
        <f t="array" ref="C53">IF(B53&gt;=MaxAge, 1, INDEX(q_paths!$B$2:$K$82, A53+1, MATCH($B$1, q_paths!$B$1:$K$1, 0)) * (1-LongevityShock))</f>
        <v>1</v>
      </c>
      <c r="D53">
        <f t="shared" si="11"/>
        <v>0</v>
      </c>
      <c r="E53">
        <f t="shared" si="6"/>
        <v>1</v>
      </c>
      <c r="F53">
        <f t="shared" si="7"/>
        <v>0</v>
      </c>
      <c r="G53">
        <f t="array" ref="G53">IF(A53=0, 1, (INDEX(Discount!$B$2:$B$82, A53+1)^(-1/A53) + RateShift)^(-A53))</f>
        <v>0.21027297524706884</v>
      </c>
      <c r="H53">
        <f t="shared" si="8"/>
        <v>0</v>
      </c>
      <c r="I53">
        <f t="array" ref="I53">INDEX(CF_python!$B$2:$K$82, A53+1, MATCH($B$1, CF_python!$B$1:$K$1, 0)) - F53</f>
        <v>0</v>
      </c>
    </row>
    <row r="54" spans="1:9" x14ac:dyDescent="0.2">
      <c r="A54">
        <f t="shared" si="9"/>
        <v>47</v>
      </c>
      <c r="B54">
        <f t="shared" si="10"/>
        <v>129</v>
      </c>
      <c r="C54">
        <f t="array" ref="C54">IF(B54&gt;=MaxAge, 1, INDEX(q_paths!$B$2:$K$82, A54+1, MATCH($B$1, q_paths!$B$1:$K$1, 0)) * (1-LongevityShock))</f>
        <v>1</v>
      </c>
      <c r="D54">
        <f t="shared" si="11"/>
        <v>0</v>
      </c>
      <c r="E54">
        <f t="shared" si="6"/>
        <v>1</v>
      </c>
      <c r="F54">
        <f t="shared" si="7"/>
        <v>0</v>
      </c>
      <c r="G54">
        <f t="array" ref="G54">IF(A54=0, 1, (INDEX(Discount!$B$2:$B$82, A54+1)^(-1/A54) + RateShift)^(-A54))</f>
        <v>0.2034492039325469</v>
      </c>
      <c r="H54">
        <f t="shared" si="8"/>
        <v>0</v>
      </c>
      <c r="I54">
        <f t="array" ref="I54">INDEX(CF_python!$B$2:$K$82, A54+1, MATCH($B$1, CF_python!$B$1:$K$1, 0)) - F54</f>
        <v>0</v>
      </c>
    </row>
    <row r="55" spans="1:9" x14ac:dyDescent="0.2">
      <c r="A55">
        <f t="shared" si="9"/>
        <v>48</v>
      </c>
      <c r="B55">
        <f t="shared" si="10"/>
        <v>130</v>
      </c>
      <c r="C55">
        <f t="array" ref="C55">IF(B55&gt;=MaxAge, 1, INDEX(q_paths!$B$2:$K$82, A55+1, MATCH($B$1, q_paths!$B$1:$K$1, 0)) * (1-LongevityShock))</f>
        <v>1</v>
      </c>
      <c r="D55">
        <f t="shared" si="11"/>
        <v>0</v>
      </c>
      <c r="E55">
        <f t="shared" si="6"/>
        <v>1</v>
      </c>
      <c r="F55">
        <f t="shared" si="7"/>
        <v>0</v>
      </c>
      <c r="G55">
        <f t="array" ref="G55">IF(A55=0, 1, (INDEX(Discount!$B$2:$B$82, A55+1)^(-1/A55) + RateShift)^(-A55))</f>
        <v>0.19694585849201887</v>
      </c>
      <c r="H55">
        <f t="shared" si="8"/>
        <v>0</v>
      </c>
      <c r="I55">
        <f t="array" ref="I55">INDEX(CF_python!$B$2:$K$82, A55+1, MATCH($B$1, CF_python!$B$1:$K$1, 0)) - F55</f>
        <v>0</v>
      </c>
    </row>
    <row r="56" spans="1:9" x14ac:dyDescent="0.2">
      <c r="A56">
        <f t="shared" si="9"/>
        <v>49</v>
      </c>
      <c r="B56">
        <f t="shared" si="10"/>
        <v>131</v>
      </c>
      <c r="C56">
        <f t="array" ref="C56">IF(B56&gt;=MaxAge, 1, INDEX(q_paths!$B$2:$K$82, A56+1, MATCH($B$1, q_paths!$B$1:$K$1, 0)) * (1-LongevityShock))</f>
        <v>1</v>
      </c>
      <c r="D56">
        <f t="shared" si="11"/>
        <v>0</v>
      </c>
      <c r="E56">
        <f t="shared" si="6"/>
        <v>1</v>
      </c>
      <c r="F56">
        <f t="shared" si="7"/>
        <v>0</v>
      </c>
      <c r="G56">
        <f t="array" ref="G56">IF(A56=0, 1, (INDEX(Discount!$B$2:$B$82, A56+1)^(-1/A56) + RateShift)^(-A56))</f>
        <v>0.19066146172274034</v>
      </c>
      <c r="H56">
        <f t="shared" si="8"/>
        <v>0</v>
      </c>
      <c r="I56">
        <f t="array" ref="I56">INDEX(CF_python!$B$2:$K$82, A56+1, MATCH($B$1, CF_python!$B$1:$K$1, 0)) - F56</f>
        <v>0</v>
      </c>
    </row>
    <row r="57" spans="1:9" x14ac:dyDescent="0.2">
      <c r="A57">
        <f t="shared" si="9"/>
        <v>50</v>
      </c>
      <c r="B57">
        <f t="shared" si="10"/>
        <v>132</v>
      </c>
      <c r="C57">
        <f t="array" ref="C57">IF(B57&gt;=MaxAge, 1, INDEX(q_paths!$B$2:$K$82, A57+1, MATCH($B$1, q_paths!$B$1:$K$1, 0)) * (1-LongevityShock))</f>
        <v>1</v>
      </c>
      <c r="D57">
        <f t="shared" si="11"/>
        <v>0</v>
      </c>
      <c r="E57">
        <f t="shared" si="6"/>
        <v>1</v>
      </c>
      <c r="F57">
        <f t="shared" si="7"/>
        <v>0</v>
      </c>
      <c r="G57">
        <f t="array" ref="G57">IF(A57=0, 1, (INDEX(Discount!$B$2:$B$82, A57+1)^(-1/A57) + RateShift)^(-A57))</f>
        <v>0.18449910426911401</v>
      </c>
      <c r="H57">
        <f t="shared" si="8"/>
        <v>0</v>
      </c>
      <c r="I57">
        <f t="array" ref="I57">INDEX(CF_python!$B$2:$K$82, A57+1, MATCH($B$1, CF_python!$B$1:$K$1, 0)) - F57</f>
        <v>0</v>
      </c>
    </row>
    <row r="58" spans="1:9" x14ac:dyDescent="0.2">
      <c r="A58">
        <f t="shared" si="9"/>
        <v>51</v>
      </c>
      <c r="B58">
        <f t="shared" si="10"/>
        <v>133</v>
      </c>
      <c r="C58">
        <f t="array" ref="C58">IF(B58&gt;=MaxAge, 1, INDEX(q_paths!$B$2:$K$82, A58+1, MATCH($B$1, q_paths!$B$1:$K$1, 0)) * (1-LongevityShock))</f>
        <v>1</v>
      </c>
      <c r="D58">
        <f t="shared" si="11"/>
        <v>0</v>
      </c>
      <c r="E58">
        <f t="shared" si="6"/>
        <v>1</v>
      </c>
      <c r="F58">
        <f t="shared" si="7"/>
        <v>0</v>
      </c>
      <c r="G58">
        <f t="array" ref="G58">IF(A58=0, 1, (INDEX(Discount!$B$2:$B$82, A58+1)^(-1/A58) + RateShift)^(-A58))</f>
        <v>0.17863088173206726</v>
      </c>
      <c r="H58">
        <f t="shared" si="8"/>
        <v>0</v>
      </c>
      <c r="I58">
        <f t="array" ref="I58">INDEX(CF_python!$B$2:$K$82, A58+1, MATCH($B$1, CF_python!$B$1:$K$1, 0)) - F58</f>
        <v>0</v>
      </c>
    </row>
    <row r="59" spans="1:9" x14ac:dyDescent="0.2">
      <c r="A59">
        <f t="shared" si="9"/>
        <v>52</v>
      </c>
      <c r="B59">
        <f t="shared" si="10"/>
        <v>134</v>
      </c>
      <c r="C59">
        <f t="array" ref="C59">IF(B59&gt;=MaxAge, 1, INDEX(q_paths!$B$2:$K$82, A59+1, MATCH($B$1, q_paths!$B$1:$K$1, 0)) * (1-LongevityShock))</f>
        <v>1</v>
      </c>
      <c r="D59">
        <f t="shared" si="11"/>
        <v>0</v>
      </c>
      <c r="E59">
        <f t="shared" si="6"/>
        <v>1</v>
      </c>
      <c r="F59">
        <f t="shared" si="7"/>
        <v>0</v>
      </c>
      <c r="G59">
        <f t="array" ref="G59">IF(A59=0, 1, (INDEX(Discount!$B$2:$B$82, A59+1)^(-1/A59) + RateShift)^(-A59))</f>
        <v>0.17287241303588344</v>
      </c>
      <c r="H59">
        <f t="shared" si="8"/>
        <v>0</v>
      </c>
      <c r="I59">
        <f t="array" ref="I59">INDEX(CF_python!$B$2:$K$82, A59+1, MATCH($B$1, CF_python!$B$1:$K$1, 0)) - F59</f>
        <v>0</v>
      </c>
    </row>
    <row r="60" spans="1:9" x14ac:dyDescent="0.2">
      <c r="A60">
        <f t="shared" si="9"/>
        <v>53</v>
      </c>
      <c r="B60">
        <f t="shared" si="10"/>
        <v>135</v>
      </c>
      <c r="C60">
        <f t="array" ref="C60">IF(B60&gt;=MaxAge, 1, INDEX(q_paths!$B$2:$K$82, A60+1, MATCH($B$1, q_paths!$B$1:$K$1, 0)) * (1-LongevityShock))</f>
        <v>1</v>
      </c>
      <c r="D60">
        <f t="shared" si="11"/>
        <v>0</v>
      </c>
      <c r="E60">
        <f t="shared" si="6"/>
        <v>1</v>
      </c>
      <c r="F60">
        <f t="shared" si="7"/>
        <v>0</v>
      </c>
      <c r="G60">
        <f t="array" ref="G60">IF(A60=0, 1, (INDEX(Discount!$B$2:$B$82, A60+1)^(-1/A60) + RateShift)^(-A60))</f>
        <v>0.16730605157112127</v>
      </c>
      <c r="H60">
        <f t="shared" si="8"/>
        <v>0</v>
      </c>
      <c r="I60">
        <f t="array" ref="I60">INDEX(CF_python!$B$2:$K$82, A60+1, MATCH($B$1, CF_python!$B$1:$K$1, 0)) - F60</f>
        <v>0</v>
      </c>
    </row>
    <row r="61" spans="1:9" x14ac:dyDescent="0.2">
      <c r="A61">
        <f t="shared" si="9"/>
        <v>54</v>
      </c>
      <c r="B61">
        <f t="shared" si="10"/>
        <v>136</v>
      </c>
      <c r="C61">
        <f t="array" ref="C61">IF(B61&gt;=MaxAge, 1, INDEX(q_paths!$B$2:$K$82, A61+1, MATCH($B$1, q_paths!$B$1:$K$1, 0)) * (1-LongevityShock))</f>
        <v>1</v>
      </c>
      <c r="D61">
        <f t="shared" si="11"/>
        <v>0</v>
      </c>
      <c r="E61">
        <f t="shared" si="6"/>
        <v>1</v>
      </c>
      <c r="F61">
        <f t="shared" si="7"/>
        <v>0</v>
      </c>
      <c r="G61">
        <f t="array" ref="G61">IF(A61=0, 1, (INDEX(Discount!$B$2:$B$82, A61+1)^(-1/A61) + RateShift)^(-A61))</f>
        <v>0.1620097511756039</v>
      </c>
      <c r="H61">
        <f t="shared" si="8"/>
        <v>0</v>
      </c>
      <c r="I61">
        <f t="array" ref="I61">INDEX(CF_python!$B$2:$K$82, A61+1, MATCH($B$1, CF_python!$B$1:$K$1, 0)) - F61</f>
        <v>0</v>
      </c>
    </row>
    <row r="62" spans="1:9" x14ac:dyDescent="0.2">
      <c r="A62">
        <f t="shared" si="9"/>
        <v>55</v>
      </c>
      <c r="B62">
        <f t="shared" si="10"/>
        <v>137</v>
      </c>
      <c r="C62">
        <f t="array" ref="C62">IF(B62&gt;=MaxAge, 1, INDEX(q_paths!$B$2:$K$82, A62+1, MATCH($B$1, q_paths!$B$1:$K$1, 0)) * (1-LongevityShock))</f>
        <v>1</v>
      </c>
      <c r="D62">
        <f t="shared" si="11"/>
        <v>0</v>
      </c>
      <c r="E62">
        <f t="shared" si="6"/>
        <v>1</v>
      </c>
      <c r="F62">
        <f t="shared" si="7"/>
        <v>0</v>
      </c>
      <c r="G62">
        <f t="array" ref="G62">IF(A62=0, 1, (INDEX(Discount!$B$2:$B$82, A62+1)^(-1/A62) + RateShift)^(-A62))</f>
        <v>0.15680681115608155</v>
      </c>
      <c r="H62">
        <f t="shared" si="8"/>
        <v>0</v>
      </c>
      <c r="I62">
        <f t="array" ref="I62">INDEX(CF_python!$B$2:$K$82, A62+1, MATCH($B$1, CF_python!$B$1:$K$1, 0)) - F62</f>
        <v>0</v>
      </c>
    </row>
    <row r="63" spans="1:9" x14ac:dyDescent="0.2">
      <c r="A63">
        <f t="shared" si="9"/>
        <v>56</v>
      </c>
      <c r="B63">
        <f t="shared" si="10"/>
        <v>138</v>
      </c>
      <c r="C63">
        <f t="array" ref="C63">IF(B63&gt;=MaxAge, 1, INDEX(q_paths!$B$2:$K$82, A63+1, MATCH($B$1, q_paths!$B$1:$K$1, 0)) * (1-LongevityShock))</f>
        <v>1</v>
      </c>
      <c r="D63">
        <f t="shared" si="11"/>
        <v>0</v>
      </c>
      <c r="E63">
        <f t="shared" si="6"/>
        <v>1</v>
      </c>
      <c r="F63">
        <f t="shared" si="7"/>
        <v>0</v>
      </c>
      <c r="G63">
        <f t="array" ref="G63">IF(A63=0, 1, (INDEX(Discount!$B$2:$B$82, A63+1)^(-1/A63) + RateShift)^(-A63))</f>
        <v>0.15177683643071124</v>
      </c>
      <c r="H63">
        <f t="shared" si="8"/>
        <v>0</v>
      </c>
      <c r="I63">
        <f t="array" ref="I63">INDEX(CF_python!$B$2:$K$82, A63+1, MATCH($B$1, CF_python!$B$1:$K$1, 0)) - F63</f>
        <v>0</v>
      </c>
    </row>
    <row r="64" spans="1:9" x14ac:dyDescent="0.2">
      <c r="A64">
        <f t="shared" si="9"/>
        <v>57</v>
      </c>
      <c r="B64">
        <f t="shared" si="10"/>
        <v>139</v>
      </c>
      <c r="C64">
        <f t="array" ref="C64">IF(B64&gt;=MaxAge, 1, INDEX(q_paths!$B$2:$K$82, A64+1, MATCH($B$1, q_paths!$B$1:$K$1, 0)) * (1-LongevityShock))</f>
        <v>1</v>
      </c>
      <c r="D64">
        <f t="shared" si="11"/>
        <v>0</v>
      </c>
      <c r="E64">
        <f t="shared" si="6"/>
        <v>1</v>
      </c>
      <c r="F64">
        <f t="shared" si="7"/>
        <v>0</v>
      </c>
      <c r="G64">
        <f t="array" ref="G64">IF(A64=0, 1, (INDEX(Discount!$B$2:$B$82, A64+1)^(-1/A64) + RateShift)^(-A64))</f>
        <v>0.14691389582622219</v>
      </c>
      <c r="H64">
        <f t="shared" si="8"/>
        <v>0</v>
      </c>
      <c r="I64">
        <f t="array" ref="I64">INDEX(CF_python!$B$2:$K$82, A64+1, MATCH($B$1, CF_python!$B$1:$K$1, 0)) - F64</f>
        <v>0</v>
      </c>
    </row>
    <row r="65" spans="1:9" x14ac:dyDescent="0.2">
      <c r="A65">
        <f t="shared" si="9"/>
        <v>58</v>
      </c>
      <c r="B65">
        <f t="shared" si="10"/>
        <v>140</v>
      </c>
      <c r="C65">
        <f t="array" ref="C65">IF(B65&gt;=MaxAge, 1, INDEX(q_paths!$B$2:$K$82, A65+1, MATCH($B$1, q_paths!$B$1:$K$1, 0)) * (1-LongevityShock))</f>
        <v>1</v>
      </c>
      <c r="D65">
        <f t="shared" si="11"/>
        <v>0</v>
      </c>
      <c r="E65">
        <f t="shared" si="6"/>
        <v>1</v>
      </c>
      <c r="F65">
        <f t="shared" si="7"/>
        <v>0</v>
      </c>
      <c r="G65">
        <f t="array" ref="G65">IF(A65=0, 1, (INDEX(Discount!$B$2:$B$82, A65+1)^(-1/A65) + RateShift)^(-A65))</f>
        <v>0.14221226737996487</v>
      </c>
      <c r="H65">
        <f t="shared" si="8"/>
        <v>0</v>
      </c>
      <c r="I65">
        <f t="array" ref="I65">INDEX(CF_python!$B$2:$K$82, A65+1, MATCH($B$1, CF_python!$B$1:$K$1, 0)) - F65</f>
        <v>0</v>
      </c>
    </row>
    <row r="66" spans="1:9" x14ac:dyDescent="0.2">
      <c r="A66">
        <f t="shared" si="9"/>
        <v>59</v>
      </c>
      <c r="B66">
        <f t="shared" si="10"/>
        <v>141</v>
      </c>
      <c r="C66">
        <f t="array" ref="C66">IF(B66&gt;=MaxAge, 1, INDEX(q_paths!$B$2:$K$82, A66+1, MATCH($B$1, q_paths!$B$1:$K$1, 0)) * (1-LongevityShock))</f>
        <v>1</v>
      </c>
      <c r="D66">
        <f t="shared" si="11"/>
        <v>0</v>
      </c>
      <c r="E66">
        <f t="shared" si="6"/>
        <v>1</v>
      </c>
      <c r="F66">
        <f t="shared" si="7"/>
        <v>0</v>
      </c>
      <c r="G66">
        <f t="array" ref="G66">IF(A66=0, 1, (INDEX(Discount!$B$2:$B$82, A66+1)^(-1/A66) + RateShift)^(-A66))</f>
        <v>0.13766643076634882</v>
      </c>
      <c r="H66">
        <f t="shared" si="8"/>
        <v>0</v>
      </c>
      <c r="I66">
        <f t="array" ref="I66">INDEX(CF_python!$B$2:$K$82, A66+1, MATCH($B$1, CF_python!$B$1:$K$1, 0)) - F66</f>
        <v>0</v>
      </c>
    </row>
    <row r="67" spans="1:9" x14ac:dyDescent="0.2">
      <c r="A67">
        <f t="shared" si="9"/>
        <v>60</v>
      </c>
      <c r="B67">
        <f t="shared" si="10"/>
        <v>142</v>
      </c>
      <c r="C67">
        <f t="array" ref="C67">IF(B67&gt;=MaxAge, 1, INDEX(q_paths!$B$2:$K$82, A67+1, MATCH($B$1, q_paths!$B$1:$K$1, 0)) * (1-LongevityShock))</f>
        <v>1</v>
      </c>
      <c r="D67">
        <f t="shared" si="11"/>
        <v>0</v>
      </c>
      <c r="E67">
        <f t="shared" si="6"/>
        <v>1</v>
      </c>
      <c r="F67">
        <f t="shared" si="7"/>
        <v>0</v>
      </c>
      <c r="G67">
        <f t="array" ref="G67">IF(A67=0, 1, (INDEX(Discount!$B$2:$B$82, A67+1)^(-1/A67) + RateShift)^(-A67))</f>
        <v>0.1331937614645074</v>
      </c>
      <c r="H67">
        <f t="shared" si="8"/>
        <v>0</v>
      </c>
      <c r="I67">
        <f t="array" ref="I67">INDEX(CF_python!$B$2:$K$82, A67+1, MATCH($B$1, CF_python!$B$1:$K$1, 0)) - F67</f>
        <v>0</v>
      </c>
    </row>
    <row r="68" spans="1:9" x14ac:dyDescent="0.2">
      <c r="A68">
        <f t="shared" si="9"/>
        <v>61</v>
      </c>
      <c r="B68">
        <f t="shared" si="10"/>
        <v>143</v>
      </c>
      <c r="C68">
        <f t="array" ref="C68">IF(B68&gt;=MaxAge, 1, INDEX(q_paths!$B$2:$K$82, A68+1, MATCH($B$1, q_paths!$B$1:$K$1, 0)) * (1-LongevityShock))</f>
        <v>1</v>
      </c>
      <c r="D68">
        <f t="shared" si="11"/>
        <v>0</v>
      </c>
      <c r="E68">
        <f t="shared" si="6"/>
        <v>1</v>
      </c>
      <c r="F68">
        <f t="shared" si="7"/>
        <v>0</v>
      </c>
      <c r="G68">
        <f t="array" ref="G68">IF(A68=0, 1, (INDEX(Discount!$B$2:$B$82, A68+1)^(-1/A68) + RateShift)^(-A68))</f>
        <v>0.12894493463399259</v>
      </c>
      <c r="H68">
        <f t="shared" si="8"/>
        <v>0</v>
      </c>
      <c r="I68">
        <f t="array" ref="I68">INDEX(CF_python!$B$2:$K$82, A68+1, MATCH($B$1, CF_python!$B$1:$K$1, 0)) - F68</f>
        <v>0</v>
      </c>
    </row>
    <row r="69" spans="1:9" x14ac:dyDescent="0.2">
      <c r="A69">
        <f t="shared" si="9"/>
        <v>62</v>
      </c>
      <c r="B69">
        <f t="shared" si="10"/>
        <v>144</v>
      </c>
      <c r="C69">
        <f t="array" ref="C69">IF(B69&gt;=MaxAge, 1, INDEX(q_paths!$B$2:$K$82, A69+1, MATCH($B$1, q_paths!$B$1:$K$1, 0)) * (1-LongevityShock))</f>
        <v>1</v>
      </c>
      <c r="D69">
        <f t="shared" si="11"/>
        <v>0</v>
      </c>
      <c r="E69">
        <f t="shared" si="6"/>
        <v>1</v>
      </c>
      <c r="F69">
        <f t="shared" si="7"/>
        <v>0</v>
      </c>
      <c r="G69">
        <f t="array" ref="G69">IF(A69=0, 1, (INDEX(Discount!$B$2:$B$82, A69+1)^(-1/A69) + RateShift)^(-A69))</f>
        <v>0.12483647496990261</v>
      </c>
      <c r="H69">
        <f t="shared" si="8"/>
        <v>0</v>
      </c>
      <c r="I69">
        <f t="array" ref="I69">INDEX(CF_python!$B$2:$K$82, A69+1, MATCH($B$1, CF_python!$B$1:$K$1, 0)) - F69</f>
        <v>0</v>
      </c>
    </row>
    <row r="70" spans="1:9" x14ac:dyDescent="0.2">
      <c r="A70">
        <f t="shared" si="9"/>
        <v>63</v>
      </c>
      <c r="B70">
        <f t="shared" si="10"/>
        <v>145</v>
      </c>
      <c r="C70">
        <f t="array" ref="C70">IF(B70&gt;=MaxAge, 1, INDEX(q_paths!$B$2:$K$82, A70+1, MATCH($B$1, q_paths!$B$1:$K$1, 0)) * (1-LongevityShock))</f>
        <v>1</v>
      </c>
      <c r="D70">
        <f t="shared" si="11"/>
        <v>0</v>
      </c>
      <c r="E70">
        <f t="shared" si="6"/>
        <v>1</v>
      </c>
      <c r="F70">
        <f t="shared" si="7"/>
        <v>0</v>
      </c>
      <c r="G70">
        <f t="array" ref="G70">IF(A70=0, 1, (INDEX(Discount!$B$2:$B$82, A70+1)^(-1/A70) + RateShift)^(-A70))</f>
        <v>0.12086359726132734</v>
      </c>
      <c r="H70">
        <f t="shared" si="8"/>
        <v>0</v>
      </c>
      <c r="I70">
        <f t="array" ref="I70">INDEX(CF_python!$B$2:$K$82, A70+1, MATCH($B$1, CF_python!$B$1:$K$1, 0)) - F70</f>
        <v>0</v>
      </c>
    </row>
    <row r="71" spans="1:9" x14ac:dyDescent="0.2">
      <c r="A71">
        <f t="shared" si="9"/>
        <v>64</v>
      </c>
      <c r="B71">
        <f t="shared" si="10"/>
        <v>146</v>
      </c>
      <c r="C71">
        <f t="array" ref="C71">IF(B71&gt;=MaxAge, 1, INDEX(q_paths!$B$2:$K$82, A71+1, MATCH($B$1, q_paths!$B$1:$K$1, 0)) * (1-LongevityShock))</f>
        <v>1</v>
      </c>
      <c r="D71">
        <f t="shared" si="11"/>
        <v>0</v>
      </c>
      <c r="E71">
        <f t="shared" ref="E71:E87" si="12">IF(B71&gt;=RetirementAge, 1, 0)</f>
        <v>1</v>
      </c>
      <c r="F71">
        <f t="shared" ref="F71:F102" si="13">$B$4*D71*E71</f>
        <v>0</v>
      </c>
      <c r="G71">
        <f t="array" ref="G71">IF(A71=0, 1, (INDEX(Discount!$B$2:$B$82, A71+1)^(-1/A71) + RateShift)^(-A71))</f>
        <v>0.11694928199811508</v>
      </c>
      <c r="H71">
        <f t="shared" ref="H71:H102" si="14">F71*G71</f>
        <v>0</v>
      </c>
      <c r="I71">
        <f t="array" ref="I71">INDEX(CF_python!$B$2:$K$82, A71+1, MATCH($B$1, CF_python!$B$1:$K$1, 0)) - F71</f>
        <v>0</v>
      </c>
    </row>
    <row r="72" spans="1:9" x14ac:dyDescent="0.2">
      <c r="A72">
        <f t="shared" ref="A72:A87" si="15">A71+1</f>
        <v>65</v>
      </c>
      <c r="B72">
        <f t="shared" ref="B72:B87" si="16">B71+1</f>
        <v>147</v>
      </c>
      <c r="C72">
        <f t="array" ref="C72">IF(B72&gt;=MaxAge, 1, INDEX(q_paths!$B$2:$K$82, A72+1, MATCH($B$1, q_paths!$B$1:$K$1, 0)) * (1-LongevityShock))</f>
        <v>1</v>
      </c>
      <c r="D72">
        <f t="shared" ref="D72:D87" si="17">D71*(1-C71)</f>
        <v>0</v>
      </c>
      <c r="E72">
        <f t="shared" si="12"/>
        <v>1</v>
      </c>
      <c r="F72">
        <f t="shared" si="13"/>
        <v>0</v>
      </c>
      <c r="G72">
        <f t="array" ref="G72">IF(A72=0, 1, (INDEX(Discount!$B$2:$B$82, A72+1)^(-1/A72) + RateShift)^(-A72))</f>
        <v>0.11323508029647367</v>
      </c>
      <c r="H72">
        <f t="shared" si="14"/>
        <v>0</v>
      </c>
      <c r="I72">
        <f t="array" ref="I72">INDEX(CF_python!$B$2:$K$82, A72+1, MATCH($B$1, CF_python!$B$1:$K$1, 0)) - F72</f>
        <v>0</v>
      </c>
    </row>
    <row r="73" spans="1:9" x14ac:dyDescent="0.2">
      <c r="A73">
        <f t="shared" si="15"/>
        <v>66</v>
      </c>
      <c r="B73">
        <f t="shared" si="16"/>
        <v>148</v>
      </c>
      <c r="C73">
        <f t="array" ref="C73">IF(B73&gt;=MaxAge, 1, INDEX(q_paths!$B$2:$K$82, A73+1, MATCH($B$1, q_paths!$B$1:$K$1, 0)) * (1-LongevityShock))</f>
        <v>1</v>
      </c>
      <c r="D73">
        <f t="shared" si="17"/>
        <v>0</v>
      </c>
      <c r="E73">
        <f t="shared" si="12"/>
        <v>1</v>
      </c>
      <c r="F73">
        <f t="shared" si="13"/>
        <v>0</v>
      </c>
      <c r="G73">
        <f t="array" ref="G73">IF(A73=0, 1, (INDEX(Discount!$B$2:$B$82, A73+1)^(-1/A73) + RateShift)^(-A73))</f>
        <v>0.10957312377573934</v>
      </c>
      <c r="H73">
        <f t="shared" si="14"/>
        <v>0</v>
      </c>
      <c r="I73">
        <f t="array" ref="I73">INDEX(CF_python!$B$2:$K$82, A73+1, MATCH($B$1, CF_python!$B$1:$K$1, 0)) - F73</f>
        <v>0</v>
      </c>
    </row>
    <row r="74" spans="1:9" x14ac:dyDescent="0.2">
      <c r="A74">
        <f t="shared" si="15"/>
        <v>67</v>
      </c>
      <c r="B74">
        <f t="shared" si="16"/>
        <v>149</v>
      </c>
      <c r="C74">
        <f t="array" ref="C74">IF(B74&gt;=MaxAge, 1, INDEX(q_paths!$B$2:$K$82, A74+1, MATCH($B$1, q_paths!$B$1:$K$1, 0)) * (1-LongevityShock))</f>
        <v>1</v>
      </c>
      <c r="D74">
        <f t="shared" si="17"/>
        <v>0</v>
      </c>
      <c r="E74">
        <f t="shared" si="12"/>
        <v>1</v>
      </c>
      <c r="F74">
        <f t="shared" si="13"/>
        <v>0</v>
      </c>
      <c r="G74">
        <f t="array" ref="G74">IF(A74=0, 1, (INDEX(Discount!$B$2:$B$82, A74+1)^(-1/A74) + RateShift)^(-A74))</f>
        <v>0.10610036802477157</v>
      </c>
      <c r="H74">
        <f t="shared" si="14"/>
        <v>0</v>
      </c>
      <c r="I74">
        <f t="array" ref="I74">INDEX(CF_python!$B$2:$K$82, A74+1, MATCH($B$1, CF_python!$B$1:$K$1, 0)) - F74</f>
        <v>0</v>
      </c>
    </row>
    <row r="75" spans="1:9" x14ac:dyDescent="0.2">
      <c r="A75">
        <f t="shared" si="15"/>
        <v>68</v>
      </c>
      <c r="B75">
        <f t="shared" si="16"/>
        <v>150</v>
      </c>
      <c r="C75">
        <f t="array" ref="C75">IF(B75&gt;=MaxAge, 1, INDEX(q_paths!$B$2:$K$82, A75+1, MATCH($B$1, q_paths!$B$1:$K$1, 0)) * (1-LongevityShock))</f>
        <v>1</v>
      </c>
      <c r="D75">
        <f t="shared" si="17"/>
        <v>0</v>
      </c>
      <c r="E75">
        <f t="shared" si="12"/>
        <v>1</v>
      </c>
      <c r="F75">
        <f t="shared" si="13"/>
        <v>0</v>
      </c>
      <c r="G75">
        <f t="array" ref="G75">IF(A75=0, 1, (INDEX(Discount!$B$2:$B$82, A75+1)^(-1/A75) + RateShift)^(-A75))</f>
        <v>0.10267411034827424</v>
      </c>
      <c r="H75">
        <f t="shared" si="14"/>
        <v>0</v>
      </c>
      <c r="I75">
        <f t="array" ref="I75">INDEX(CF_python!$B$2:$K$82, A75+1, MATCH($B$1, CF_python!$B$1:$K$1, 0)) - F75</f>
        <v>0</v>
      </c>
    </row>
    <row r="76" spans="1:9" x14ac:dyDescent="0.2">
      <c r="A76">
        <f t="shared" si="15"/>
        <v>69</v>
      </c>
      <c r="B76">
        <f t="shared" si="16"/>
        <v>151</v>
      </c>
      <c r="C76">
        <f t="array" ref="C76">IF(B76&gt;=MaxAge, 1, INDEX(q_paths!$B$2:$K$82, A76+1, MATCH($B$1, q_paths!$B$1:$K$1, 0)) * (1-LongevityShock))</f>
        <v>1</v>
      </c>
      <c r="D76">
        <f t="shared" si="17"/>
        <v>0</v>
      </c>
      <c r="E76">
        <f t="shared" si="12"/>
        <v>1</v>
      </c>
      <c r="F76">
        <f t="shared" si="13"/>
        <v>0</v>
      </c>
      <c r="G76">
        <f t="array" ref="G76">IF(A76=0, 1, (INDEX(Discount!$B$2:$B$82, A76+1)^(-1/A76) + RateShift)^(-A76))</f>
        <v>9.9426742738784643E-2</v>
      </c>
      <c r="H76">
        <f t="shared" si="14"/>
        <v>0</v>
      </c>
      <c r="I76">
        <f t="array" ref="I76">INDEX(CF_python!$B$2:$K$82, A76+1, MATCH($B$1, CF_python!$B$1:$K$1, 0)) - F76</f>
        <v>0</v>
      </c>
    </row>
    <row r="77" spans="1:9" x14ac:dyDescent="0.2">
      <c r="A77">
        <f t="shared" si="15"/>
        <v>70</v>
      </c>
      <c r="B77">
        <f t="shared" si="16"/>
        <v>152</v>
      </c>
      <c r="C77">
        <f t="array" ref="C77">IF(B77&gt;=MaxAge, 1, INDEX(q_paths!$B$2:$K$82, A77+1, MATCH($B$1, q_paths!$B$1:$K$1, 0)) * (1-LongevityShock))</f>
        <v>1</v>
      </c>
      <c r="D77">
        <f t="shared" si="17"/>
        <v>0</v>
      </c>
      <c r="E77">
        <f t="shared" si="12"/>
        <v>1</v>
      </c>
      <c r="F77">
        <f t="shared" si="13"/>
        <v>0</v>
      </c>
      <c r="G77">
        <f t="array" ref="G77">IF(A77=0, 1, (INDEX(Discount!$B$2:$B$82, A77+1)^(-1/A77) + RateShift)^(-A77))</f>
        <v>9.6220648270570114E-2</v>
      </c>
      <c r="H77">
        <f t="shared" si="14"/>
        <v>0</v>
      </c>
      <c r="I77">
        <f t="array" ref="I77">INDEX(CF_python!$B$2:$K$82, A77+1, MATCH($B$1, CF_python!$B$1:$K$1, 0)) - F77</f>
        <v>0</v>
      </c>
    </row>
    <row r="78" spans="1:9" x14ac:dyDescent="0.2">
      <c r="A78">
        <f t="shared" si="15"/>
        <v>71</v>
      </c>
      <c r="B78">
        <f t="shared" si="16"/>
        <v>153</v>
      </c>
      <c r="C78">
        <f t="array" ref="C78">IF(B78&gt;=MaxAge, 1, INDEX(q_paths!$B$2:$K$82, A78+1, MATCH($B$1, q_paths!$B$1:$K$1, 0)) * (1-LongevityShock))</f>
        <v>1</v>
      </c>
      <c r="D78">
        <f t="shared" si="17"/>
        <v>0</v>
      </c>
      <c r="E78">
        <f t="shared" si="12"/>
        <v>1</v>
      </c>
      <c r="F78">
        <f t="shared" si="13"/>
        <v>0</v>
      </c>
      <c r="G78">
        <f t="array" ref="G78">IF(A78=0, 1, (INDEX(Discount!$B$2:$B$82, A78+1)^(-1/A78) + RateShift)^(-A78))</f>
        <v>9.3119738600994553E-2</v>
      </c>
      <c r="H78">
        <f t="shared" si="14"/>
        <v>0</v>
      </c>
      <c r="I78">
        <f t="array" ref="I78">INDEX(CF_python!$B$2:$K$82, A78+1, MATCH($B$1, CF_python!$B$1:$K$1, 0)) - F78</f>
        <v>0</v>
      </c>
    </row>
    <row r="79" spans="1:9" x14ac:dyDescent="0.2">
      <c r="A79">
        <f t="shared" si="15"/>
        <v>72</v>
      </c>
      <c r="B79">
        <f t="shared" si="16"/>
        <v>154</v>
      </c>
      <c r="C79">
        <f t="array" ref="C79">IF(B79&gt;=MaxAge, 1, INDEX(q_paths!$B$2:$K$82, A79+1, MATCH($B$1, q_paths!$B$1:$K$1, 0)) * (1-LongevityShock))</f>
        <v>1</v>
      </c>
      <c r="D79">
        <f t="shared" si="17"/>
        <v>0</v>
      </c>
      <c r="E79">
        <f t="shared" si="12"/>
        <v>1</v>
      </c>
      <c r="F79">
        <f t="shared" si="13"/>
        <v>0</v>
      </c>
      <c r="G79">
        <f t="array" ref="G79">IF(A79=0, 1, (INDEX(Discount!$B$2:$B$82, A79+1)^(-1/A79) + RateShift)^(-A79))</f>
        <v>9.0183281813814353E-2</v>
      </c>
      <c r="H79">
        <f t="shared" si="14"/>
        <v>0</v>
      </c>
      <c r="I79">
        <f t="array" ref="I79">INDEX(CF_python!$B$2:$K$82, A79+1, MATCH($B$1, CF_python!$B$1:$K$1, 0)) - F79</f>
        <v>0</v>
      </c>
    </row>
    <row r="80" spans="1:9" x14ac:dyDescent="0.2">
      <c r="A80">
        <f t="shared" si="15"/>
        <v>73</v>
      </c>
      <c r="B80">
        <f t="shared" si="16"/>
        <v>155</v>
      </c>
      <c r="C80">
        <f t="array" ref="C80">IF(B80&gt;=MaxAge, 1, INDEX(q_paths!$B$2:$K$82, A80+1, MATCH($B$1, q_paths!$B$1:$K$1, 0)) * (1-LongevityShock))</f>
        <v>1</v>
      </c>
      <c r="D80">
        <f t="shared" si="17"/>
        <v>0</v>
      </c>
      <c r="E80">
        <f t="shared" si="12"/>
        <v>1</v>
      </c>
      <c r="F80">
        <f t="shared" si="13"/>
        <v>0</v>
      </c>
      <c r="G80">
        <f t="array" ref="G80">IF(A80=0, 1, (INDEX(Discount!$B$2:$B$82, A80+1)^(-1/A80) + RateShift)^(-A80))</f>
        <v>8.7281161030924759E-2</v>
      </c>
      <c r="H80">
        <f t="shared" si="14"/>
        <v>0</v>
      </c>
      <c r="I80">
        <f t="array" ref="I80">INDEX(CF_python!$B$2:$K$82, A80+1, MATCH($B$1, CF_python!$B$1:$K$1, 0)) - F80</f>
        <v>0</v>
      </c>
    </row>
    <row r="81" spans="1:9" x14ac:dyDescent="0.2">
      <c r="A81">
        <f t="shared" si="15"/>
        <v>74</v>
      </c>
      <c r="B81">
        <f t="shared" si="16"/>
        <v>156</v>
      </c>
      <c r="C81">
        <f t="array" ref="C81">IF(B81&gt;=MaxAge, 1, INDEX(q_paths!$B$2:$K$82, A81+1, MATCH($B$1, q_paths!$B$1:$K$1, 0)) * (1-LongevityShock))</f>
        <v>1</v>
      </c>
      <c r="D81">
        <f t="shared" si="17"/>
        <v>0</v>
      </c>
      <c r="E81">
        <f t="shared" si="12"/>
        <v>1</v>
      </c>
      <c r="F81">
        <f t="shared" si="13"/>
        <v>0</v>
      </c>
      <c r="G81">
        <f t="array" ref="G81">IF(A81=0, 1, (INDEX(Discount!$B$2:$B$82, A81+1)^(-1/A81) + RateShift)^(-A81))</f>
        <v>8.4474065763877892E-2</v>
      </c>
      <c r="H81">
        <f t="shared" si="14"/>
        <v>0</v>
      </c>
      <c r="I81">
        <f t="array" ref="I81">INDEX(CF_python!$B$2:$K$82, A81+1, MATCH($B$1, CF_python!$B$1:$K$1, 0)) - F81</f>
        <v>0</v>
      </c>
    </row>
    <row r="82" spans="1:9" x14ac:dyDescent="0.2">
      <c r="A82">
        <f t="shared" si="15"/>
        <v>75</v>
      </c>
      <c r="B82">
        <f t="shared" si="16"/>
        <v>157</v>
      </c>
      <c r="C82">
        <f t="array" ref="C82">IF(B82&gt;=MaxAge, 1, INDEX(q_paths!$B$2:$K$82, A82+1, MATCH($B$1, q_paths!$B$1:$K$1, 0)) * (1-LongevityShock))</f>
        <v>1</v>
      </c>
      <c r="D82">
        <f t="shared" si="17"/>
        <v>0</v>
      </c>
      <c r="E82">
        <f t="shared" si="12"/>
        <v>1</v>
      </c>
      <c r="F82">
        <f t="shared" si="13"/>
        <v>0</v>
      </c>
      <c r="G82">
        <f t="array" ref="G82">IF(A82=0, 1, (INDEX(Discount!$B$2:$B$82, A82+1)^(-1/A82) + RateShift)^(-A82))</f>
        <v>8.1818160480728833E-2</v>
      </c>
      <c r="H82">
        <f t="shared" si="14"/>
        <v>0</v>
      </c>
      <c r="I82">
        <f t="array" ref="I82">INDEX(CF_python!$B$2:$K$82, A82+1, MATCH($B$1, CF_python!$B$1:$K$1, 0)) - F82</f>
        <v>0</v>
      </c>
    </row>
    <row r="83" spans="1:9" x14ac:dyDescent="0.2">
      <c r="A83">
        <f t="shared" si="15"/>
        <v>76</v>
      </c>
      <c r="B83">
        <f t="shared" si="16"/>
        <v>158</v>
      </c>
      <c r="C83">
        <f t="array" ref="C83">IF(B83&gt;=MaxAge, 1, INDEX(q_paths!$B$2:$K$82, A83+1, MATCH($B$1, q_paths!$B$1:$K$1, 0)) * (1-LongevityShock))</f>
        <v>1</v>
      </c>
      <c r="D83">
        <f t="shared" si="17"/>
        <v>0</v>
      </c>
      <c r="E83">
        <f t="shared" si="12"/>
        <v>1</v>
      </c>
      <c r="F83">
        <f t="shared" si="13"/>
        <v>0</v>
      </c>
      <c r="G83">
        <f t="array" ref="G83">IF(A83=0, 1, (INDEX(Discount!$B$2:$B$82, A83+1)^(-1/A83) + RateShift)^(-A83))</f>
        <v>7.9190594724514798E-2</v>
      </c>
      <c r="H83">
        <f t="shared" si="14"/>
        <v>0</v>
      </c>
      <c r="I83">
        <f t="array" ref="I83">INDEX(CF_python!$B$2:$K$82, A83+1, MATCH($B$1, CF_python!$B$1:$K$1, 0)) - F83</f>
        <v>0</v>
      </c>
    </row>
    <row r="84" spans="1:9" x14ac:dyDescent="0.2">
      <c r="A84">
        <f t="shared" si="15"/>
        <v>77</v>
      </c>
      <c r="B84">
        <f t="shared" si="16"/>
        <v>159</v>
      </c>
      <c r="C84">
        <f t="array" ref="C84">IF(B84&gt;=MaxAge, 1, INDEX(q_paths!$B$2:$K$82, A84+1, MATCH($B$1, q_paths!$B$1:$K$1, 0)) * (1-LongevityShock))</f>
        <v>1</v>
      </c>
      <c r="D84">
        <f t="shared" si="17"/>
        <v>0</v>
      </c>
      <c r="E84">
        <f t="shared" si="12"/>
        <v>1</v>
      </c>
      <c r="F84">
        <f t="shared" si="13"/>
        <v>0</v>
      </c>
      <c r="G84">
        <f t="array" ref="G84">IF(A84=0, 1, (INDEX(Discount!$B$2:$B$82, A84+1)^(-1/A84) + RateShift)^(-A84))</f>
        <v>7.664889565825625E-2</v>
      </c>
      <c r="H84">
        <f t="shared" si="14"/>
        <v>0</v>
      </c>
      <c r="I84">
        <f t="array" ref="I84">INDEX(CF_python!$B$2:$K$82, A84+1, MATCH($B$1, CF_python!$B$1:$K$1, 0)) - F84</f>
        <v>0</v>
      </c>
    </row>
    <row r="85" spans="1:9" x14ac:dyDescent="0.2">
      <c r="A85">
        <f t="shared" si="15"/>
        <v>78</v>
      </c>
      <c r="B85">
        <f t="shared" si="16"/>
        <v>160</v>
      </c>
      <c r="C85">
        <f t="array" ref="C85">IF(B85&gt;=MaxAge, 1, INDEX(q_paths!$B$2:$K$82, A85+1, MATCH($B$1, q_paths!$B$1:$K$1, 0)) * (1-LongevityShock))</f>
        <v>1</v>
      </c>
      <c r="D85">
        <f t="shared" si="17"/>
        <v>0</v>
      </c>
      <c r="E85">
        <f t="shared" si="12"/>
        <v>1</v>
      </c>
      <c r="F85">
        <f t="shared" si="13"/>
        <v>0</v>
      </c>
      <c r="G85">
        <f t="array" ref="G85">IF(A85=0, 1, (INDEX(Discount!$B$2:$B$82, A85+1)^(-1/A85) + RateShift)^(-A85))</f>
        <v>7.4190210537909071E-2</v>
      </c>
      <c r="H85">
        <f t="shared" si="14"/>
        <v>0</v>
      </c>
      <c r="I85">
        <f t="array" ref="I85">INDEX(CF_python!$B$2:$K$82, A85+1, MATCH($B$1, CF_python!$B$1:$K$1, 0)) - F85</f>
        <v>0</v>
      </c>
    </row>
    <row r="86" spans="1:9" x14ac:dyDescent="0.2">
      <c r="A86">
        <f t="shared" si="15"/>
        <v>79</v>
      </c>
      <c r="B86">
        <f t="shared" si="16"/>
        <v>161</v>
      </c>
      <c r="C86">
        <f t="array" ref="C86">IF(B86&gt;=MaxAge, 1, INDEX(q_paths!$B$2:$K$82, A86+1, MATCH($B$1, q_paths!$B$1:$K$1, 0)) * (1-LongevityShock))</f>
        <v>1</v>
      </c>
      <c r="D86">
        <f t="shared" si="17"/>
        <v>0</v>
      </c>
      <c r="E86">
        <f t="shared" si="12"/>
        <v>1</v>
      </c>
      <c r="F86">
        <f t="shared" si="13"/>
        <v>0</v>
      </c>
      <c r="G86">
        <f t="array" ref="G86">IF(A86=0, 1, (INDEX(Discount!$B$2:$B$82, A86+1)^(-1/A86) + RateShift)^(-A86))</f>
        <v>7.1811782894213402E-2</v>
      </c>
      <c r="H86">
        <f t="shared" si="14"/>
        <v>0</v>
      </c>
      <c r="I86">
        <f t="array" ref="I86">INDEX(CF_python!$B$2:$K$82, A86+1, MATCH($B$1, CF_python!$B$1:$K$1, 0)) - F86</f>
        <v>0</v>
      </c>
    </row>
    <row r="87" spans="1:9" x14ac:dyDescent="0.2">
      <c r="A87">
        <f t="shared" si="15"/>
        <v>80</v>
      </c>
      <c r="B87">
        <f t="shared" si="16"/>
        <v>162</v>
      </c>
      <c r="C87">
        <f t="array" ref="C87">IF(B87&gt;=MaxAge, 1, INDEX(q_paths!$B$2:$K$82, A87+1, MATCH($B$1, q_paths!$B$1:$K$1, 0)) * (1-LongevityShock))</f>
        <v>1</v>
      </c>
      <c r="D87">
        <f t="shared" si="17"/>
        <v>0</v>
      </c>
      <c r="E87">
        <f t="shared" si="12"/>
        <v>1</v>
      </c>
      <c r="F87">
        <f t="shared" si="13"/>
        <v>0</v>
      </c>
      <c r="G87">
        <f t="array" ref="G87">IF(A87=0, 1, (INDEX(Discount!$B$2:$B$82, A87+1)^(-1/A87) + RateShift)^(-A87))</f>
        <v>6.9510949234642447E-2</v>
      </c>
      <c r="H87">
        <f t="shared" si="14"/>
        <v>0</v>
      </c>
      <c r="I87">
        <f t="array" ref="I87">INDEX(CF_python!$B$2:$K$82, A87+1, MATCH($B$1, CF_python!$B$1:$K$1, 0)) - F87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>
      <selection activeCell="B2" sqref="B2"/>
    </sheetView>
  </sheetViews>
  <sheetFormatPr baseColWidth="10" defaultRowHeight="15" x14ac:dyDescent="0.2"/>
  <cols>
    <col min="4" max="4" width="23.33203125" bestFit="1" customWidth="1"/>
    <col min="6" max="6" width="11.5" bestFit="1" customWidth="1"/>
  </cols>
  <sheetData>
    <row r="1" spans="1:6" x14ac:dyDescent="0.2">
      <c r="A1" t="s">
        <v>49</v>
      </c>
      <c r="B1" s="9">
        <v>77945</v>
      </c>
      <c r="D1" t="s">
        <v>134</v>
      </c>
    </row>
    <row r="4" spans="1:6" x14ac:dyDescent="0.2">
      <c r="A4" t="s">
        <v>107</v>
      </c>
      <c r="B4" t="s">
        <v>135</v>
      </c>
      <c r="C4" t="s">
        <v>62</v>
      </c>
      <c r="D4" t="s">
        <v>124</v>
      </c>
      <c r="E4" t="s">
        <v>136</v>
      </c>
      <c r="F4" t="s">
        <v>132</v>
      </c>
    </row>
    <row r="5" spans="1:6" hidden="1" x14ac:dyDescent="0.2">
      <c r="B5">
        <f>Calc!L6</f>
        <v>146954.86103014241</v>
      </c>
      <c r="C5">
        <f>Calc!L7</f>
        <v>4.2558191742717808</v>
      </c>
    </row>
    <row r="6" spans="1:6" x14ac:dyDescent="0.2">
      <c r="A6">
        <f>Participants!A2</f>
        <v>7142</v>
      </c>
      <c r="B6">
        <f t="dataTable" ref="B6:C15" dt2D="0" dtr="0" r1="B1"/>
        <v>184056.4928336317</v>
      </c>
      <c r="C6">
        <v>25.491074806259967</v>
      </c>
      <c r="D6">
        <f>_xlfn.XLOOKUP(A6, Participants!A:A, Participants!E:E)</f>
        <v>184056.49283363181</v>
      </c>
      <c r="E6">
        <f t="shared" ref="E6:E15" si="0">B6-D6</f>
        <v>0</v>
      </c>
      <c r="F6" t="str">
        <f t="shared" ref="F6:F15" si="1">IF(ABS(E6)&lt;1, "OK", "CHECK")</f>
        <v>OK</v>
      </c>
    </row>
    <row r="7" spans="1:6" x14ac:dyDescent="0.2">
      <c r="A7">
        <f>Participants!A3</f>
        <v>27818</v>
      </c>
      <c r="B7">
        <v>225429.59271730552</v>
      </c>
      <c r="C7">
        <v>18.315258856006729</v>
      </c>
      <c r="D7">
        <f>_xlfn.XLOOKUP(A7, Participants!A:A, Participants!E:E)</f>
        <v>225429.59271730561</v>
      </c>
      <c r="E7">
        <f t="shared" si="0"/>
        <v>0</v>
      </c>
      <c r="F7" t="str">
        <f t="shared" si="1"/>
        <v>OK</v>
      </c>
    </row>
    <row r="8" spans="1:6" x14ac:dyDescent="0.2">
      <c r="A8">
        <f>Participants!A4</f>
        <v>43572</v>
      </c>
      <c r="B8">
        <v>77354.686263252821</v>
      </c>
      <c r="C8">
        <v>28.545218511655044</v>
      </c>
      <c r="D8">
        <f>_xlfn.XLOOKUP(A8, Participants!A:A, Participants!E:E)</f>
        <v>77354.686263252806</v>
      </c>
      <c r="E8">
        <f t="shared" si="0"/>
        <v>0</v>
      </c>
      <c r="F8" t="str">
        <f t="shared" si="1"/>
        <v>OK</v>
      </c>
    </row>
    <row r="9" spans="1:6" x14ac:dyDescent="0.2">
      <c r="A9">
        <f>Participants!A5</f>
        <v>52877</v>
      </c>
      <c r="B9">
        <v>30576.430655697197</v>
      </c>
      <c r="C9">
        <v>22.070475141577163</v>
      </c>
      <c r="D9">
        <f>_xlfn.XLOOKUP(A9, Participants!A:A, Participants!E:E)</f>
        <v>30576.430655697201</v>
      </c>
      <c r="E9">
        <f t="shared" si="0"/>
        <v>0</v>
      </c>
      <c r="F9" t="str">
        <f t="shared" si="1"/>
        <v>OK</v>
      </c>
    </row>
    <row r="10" spans="1:6" x14ac:dyDescent="0.2">
      <c r="A10">
        <f>Participants!A6</f>
        <v>39845</v>
      </c>
      <c r="B10">
        <v>30927.533420375712</v>
      </c>
      <c r="C10">
        <v>38.496495913725482</v>
      </c>
      <c r="D10">
        <f>_xlfn.XLOOKUP(A10, Participants!A:A, Participants!E:E)</f>
        <v>30927.533420375719</v>
      </c>
      <c r="E10">
        <f t="shared" si="0"/>
        <v>0</v>
      </c>
      <c r="F10" t="str">
        <f t="shared" si="1"/>
        <v>OK</v>
      </c>
    </row>
    <row r="11" spans="1:6" x14ac:dyDescent="0.2">
      <c r="A11">
        <f>Participants!A7</f>
        <v>77945</v>
      </c>
      <c r="B11">
        <v>146954.86103014241</v>
      </c>
      <c r="C11">
        <v>4.2558191742717808</v>
      </c>
      <c r="D11">
        <f>_xlfn.XLOOKUP(A11, Participants!A:A, Participants!E:E)</f>
        <v>146954.86103014249</v>
      </c>
      <c r="E11">
        <f t="shared" si="0"/>
        <v>0</v>
      </c>
      <c r="F11" t="str">
        <f t="shared" si="1"/>
        <v>OK</v>
      </c>
    </row>
    <row r="12" spans="1:6" x14ac:dyDescent="0.2">
      <c r="A12">
        <f>Participants!A8</f>
        <v>86536</v>
      </c>
      <c r="B12">
        <v>81100.090443025794</v>
      </c>
      <c r="C12">
        <v>2.3439361382138939</v>
      </c>
      <c r="D12">
        <f>_xlfn.XLOOKUP(A12, Participants!A:A, Participants!E:E)</f>
        <v>81100.090443025809</v>
      </c>
      <c r="E12">
        <f t="shared" si="0"/>
        <v>0</v>
      </c>
      <c r="F12" t="str">
        <f t="shared" si="1"/>
        <v>OK</v>
      </c>
    </row>
    <row r="13" spans="1:6" x14ac:dyDescent="0.2">
      <c r="A13">
        <f>Participants!A9</f>
        <v>96726</v>
      </c>
      <c r="B13">
        <v>189793.94556760497</v>
      </c>
      <c r="C13">
        <v>7.9155157386039923</v>
      </c>
      <c r="D13">
        <f>_xlfn.XLOOKUP(A13, Participants!A:A, Participants!E:E)</f>
        <v>189793.945567605</v>
      </c>
      <c r="E13">
        <f t="shared" si="0"/>
        <v>0</v>
      </c>
      <c r="F13" t="str">
        <f t="shared" si="1"/>
        <v>OK</v>
      </c>
    </row>
    <row r="14" spans="1:6" x14ac:dyDescent="0.2">
      <c r="A14">
        <f>Participants!A10</f>
        <v>86333</v>
      </c>
      <c r="B14">
        <v>134028.9368464328</v>
      </c>
      <c r="C14">
        <v>2.2451659172266782</v>
      </c>
      <c r="D14">
        <f>_xlfn.XLOOKUP(A14, Participants!A:A, Participants!E:E)</f>
        <v>134028.93684643289</v>
      </c>
      <c r="E14">
        <f t="shared" si="0"/>
        <v>0</v>
      </c>
      <c r="F14" t="str">
        <f t="shared" si="1"/>
        <v>OK</v>
      </c>
    </row>
    <row r="15" spans="1:6" ht="16" customHeight="1" thickBot="1" x14ac:dyDescent="0.25">
      <c r="A15">
        <f>Participants!A11</f>
        <v>90629</v>
      </c>
      <c r="B15" s="10">
        <v>132554.14851392963</v>
      </c>
      <c r="C15">
        <v>3.0222938903845988</v>
      </c>
      <c r="D15" s="10">
        <f>_xlfn.XLOOKUP(A15, Participants!A:A, Participants!E:E)</f>
        <v>132554.1485139296</v>
      </c>
      <c r="E15">
        <f t="shared" si="0"/>
        <v>0</v>
      </c>
      <c r="F15" t="str">
        <f t="shared" si="1"/>
        <v>OK</v>
      </c>
    </row>
    <row r="17" spans="2:6" x14ac:dyDescent="0.2">
      <c r="B17">
        <f>SUM(B6:B15)</f>
        <v>1232776.7182913986</v>
      </c>
      <c r="D17">
        <f>SUM(D6:D15)</f>
        <v>1232776.7182913991</v>
      </c>
      <c r="E17">
        <f>B17-D17</f>
        <v>0</v>
      </c>
      <c r="F17" t="str">
        <f>IF(COUNTIF(F6:F15,"OK")=10, "All reconciled", "Check")</f>
        <v>All reconciled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showGridLines="0" workbookViewId="0">
      <selection activeCell="G10" sqref="G10"/>
    </sheetView>
  </sheetViews>
  <sheetFormatPr baseColWidth="10" defaultColWidth="8.83203125" defaultRowHeight="15" x14ac:dyDescent="0.2"/>
  <cols>
    <col min="1" max="1" width="52" customWidth="1"/>
    <col min="2" max="5" width="16" customWidth="1"/>
  </cols>
  <sheetData>
    <row r="1" spans="1:5" ht="18" customHeight="1" x14ac:dyDescent="0.2">
      <c r="A1" s="47" t="s">
        <v>137</v>
      </c>
    </row>
    <row r="2" spans="1:5" x14ac:dyDescent="0.2">
      <c r="A2" s="48" t="s">
        <v>138</v>
      </c>
    </row>
    <row r="4" spans="1:5" x14ac:dyDescent="0.2">
      <c r="A4" s="49" t="s">
        <v>83</v>
      </c>
      <c r="B4" s="49" t="s">
        <v>84</v>
      </c>
      <c r="C4" s="49" t="s">
        <v>85</v>
      </c>
      <c r="D4" s="49" t="s">
        <v>86</v>
      </c>
      <c r="E4" s="49" t="s">
        <v>87</v>
      </c>
    </row>
    <row r="5" spans="1:5" x14ac:dyDescent="0.2">
      <c r="A5" s="50" t="s">
        <v>139</v>
      </c>
      <c r="B5" s="51">
        <v>12.27837900004856</v>
      </c>
      <c r="C5" s="52">
        <v>14.48991097673278</v>
      </c>
      <c r="D5" s="53">
        <f>(B5-$B$5)*1000</f>
        <v>0</v>
      </c>
      <c r="E5" s="54">
        <f>B5/$B$5-1</f>
        <v>0</v>
      </c>
    </row>
    <row r="6" spans="1:5" x14ac:dyDescent="0.2">
      <c r="A6" s="50" t="s">
        <v>140</v>
      </c>
      <c r="B6" s="51">
        <v>13.237018972584121</v>
      </c>
      <c r="C6" s="52">
        <v>14.911614383555509</v>
      </c>
      <c r="D6" s="53">
        <f>(B6-$B$5)*1000</f>
        <v>958.63997253556124</v>
      </c>
      <c r="E6" s="54">
        <f>B6/$B$5-1</f>
        <v>7.8075450556768899E-2</v>
      </c>
    </row>
    <row r="7" spans="1:5" x14ac:dyDescent="0.2">
      <c r="A7" s="50" t="s">
        <v>141</v>
      </c>
      <c r="B7" s="51">
        <v>14.231167359302241</v>
      </c>
      <c r="C7" s="52">
        <v>15.95098850955095</v>
      </c>
      <c r="D7" s="53">
        <f>(B7-$B$5)*1000</f>
        <v>1952.7883592536809</v>
      </c>
      <c r="E7" s="54">
        <f>B7/$B$5-1</f>
        <v>0.15904284753272058</v>
      </c>
    </row>
    <row r="8" spans="1:5" x14ac:dyDescent="0.2">
      <c r="A8" s="50" t="s">
        <v>142</v>
      </c>
      <c r="B8" s="51">
        <v>10.7502333355547</v>
      </c>
      <c r="C8" s="52">
        <v>13.190895739576909</v>
      </c>
      <c r="D8" s="59">
        <f>(B8-$B$5)*1000</f>
        <v>-1528.1456644938594</v>
      </c>
      <c r="E8" s="54">
        <f>B8/$B$5-1</f>
        <v>-0.12445825825117596</v>
      </c>
    </row>
    <row r="11" spans="1:5" x14ac:dyDescent="0.2">
      <c r="A11" s="55" t="s">
        <v>143</v>
      </c>
    </row>
    <row r="12" spans="1:5" x14ac:dyDescent="0.2">
      <c r="A12" s="50" t="s">
        <v>144</v>
      </c>
      <c r="B12" s="56">
        <f>B5</f>
        <v>12.27837900004856</v>
      </c>
    </row>
    <row r="13" spans="1:5" x14ac:dyDescent="0.2">
      <c r="A13" s="50" t="s">
        <v>145</v>
      </c>
      <c r="B13" s="51">
        <v>12.27</v>
      </c>
    </row>
    <row r="14" spans="1:5" x14ac:dyDescent="0.2">
      <c r="A14" s="50" t="s">
        <v>146</v>
      </c>
      <c r="B14" s="51">
        <v>0.27</v>
      </c>
    </row>
    <row r="15" spans="1:5" x14ac:dyDescent="0.2">
      <c r="A15" s="50" t="s">
        <v>147</v>
      </c>
      <c r="B15" s="51">
        <v>11.82</v>
      </c>
    </row>
    <row r="16" spans="1:5" x14ac:dyDescent="0.2">
      <c r="A16" s="50" t="s">
        <v>148</v>
      </c>
      <c r="B16" s="51">
        <v>12.28</v>
      </c>
    </row>
    <row r="17" spans="1:2" x14ac:dyDescent="0.2">
      <c r="A17" s="50" t="s">
        <v>149</v>
      </c>
      <c r="B17" s="51">
        <v>12.69</v>
      </c>
    </row>
    <row r="18" spans="1:2" x14ac:dyDescent="0.2">
      <c r="A18" s="50" t="s">
        <v>150</v>
      </c>
      <c r="B18" s="57">
        <v>583</v>
      </c>
    </row>
    <row r="19" spans="1:2" x14ac:dyDescent="0.2">
      <c r="A19" s="50" t="s">
        <v>151</v>
      </c>
      <c r="B19" s="56">
        <f>B12+B18/1000</f>
        <v>12.86137900004856</v>
      </c>
    </row>
    <row r="20" spans="1:2" x14ac:dyDescent="0.2">
      <c r="A20" s="50" t="s">
        <v>152</v>
      </c>
      <c r="B20" s="58">
        <f>B18/1000/B12</f>
        <v>4.7481837789637722E-2</v>
      </c>
    </row>
    <row r="21" spans="1:2" x14ac:dyDescent="0.2">
      <c r="A21" s="50" t="s">
        <v>153</v>
      </c>
      <c r="B21" s="58">
        <f>E6</f>
        <v>7.8075450556768899E-2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Read me</vt:lpstr>
      <vt:lpstr>Dashboard</vt:lpstr>
      <vt:lpstr>Participants</vt:lpstr>
      <vt:lpstr>q_paths</vt:lpstr>
      <vt:lpstr>Discount</vt:lpstr>
      <vt:lpstr>CF_python</vt:lpstr>
      <vt:lpstr>Assumptions</vt:lpstr>
      <vt:lpstr>Calc</vt:lpstr>
      <vt:lpstr>Reconciliation</vt:lpstr>
      <vt:lpstr>Python_results</vt:lpstr>
      <vt:lpstr>LongevityShock</vt:lpstr>
      <vt:lpstr>MaxAge</vt:lpstr>
      <vt:lpstr>RateShift</vt:lpstr>
      <vt:lpstr>RetirementAge</vt:lpstr>
      <vt:lpstr>ValuationYear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Wolff</cp:lastModifiedBy>
  <dcterms:created xsi:type="dcterms:W3CDTF">2026-10-19T09:53:34Z</dcterms:created>
  <dcterms:modified xsi:type="dcterms:W3CDTF">2026-10-20T06:31:49Z</dcterms:modified>
</cp:coreProperties>
</file>